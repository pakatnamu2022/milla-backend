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SUNAT" sheetId="1" r:id="rId3"/>
    <sheet state="visible" name="GRAVADA" sheetId="2" r:id="rId4"/>
    <sheet state="visible" name="CON ISC" sheetId="3" r:id="rId5"/>
    <sheet state="visible" name="PRIMER ANTICIPO" sheetId="4" r:id="rId6"/>
    <sheet state="visible" name="ANTICIPO. REGULARIZACION" sheetId="5" r:id="rId7"/>
    <sheet state="visible" name="GUIA DE REMISION ADJUNTA" sheetId="6" r:id="rId8"/>
    <sheet state="visible" name="FT DOLARES" sheetId="7" r:id="rId9"/>
    <sheet state="visible" name="FT PERCEPCION" sheetId="8" r:id="rId10"/>
    <sheet state="visible" name="FT GRAVADA OTROS CARGOS" sheetId="9" r:id="rId11"/>
    <sheet state="visible" name=" DSCTO GLOBAL" sheetId="10" r:id="rId12"/>
    <sheet state="visible" name="DSCTO ITEM" sheetId="11" r:id="rId13"/>
    <sheet state="visible" name="DSCTO GLOBALITEM" sheetId="12" r:id="rId14"/>
    <sheet state="visible" name="FT GRAVADA CON GRATUITA" sheetId="13" r:id="rId15"/>
    <sheet state="visible" name="EXP. DOMICILIADO" sheetId="14" r:id="rId16"/>
    <sheet state="visible" name="FT GRATUITA" sheetId="15" r:id="rId17"/>
    <sheet state="visible" name="FT INAFECTAS" sheetId="16" r:id="rId18"/>
    <sheet state="visible" name="FT EXONERADA" sheetId="17" r:id="rId19"/>
    <sheet state="visible" name="FT GRAVADA OTROS CARGOS POR ITE" sheetId="18" r:id="rId20"/>
    <sheet state="visible" name="Copy of FT GRAVADA OTROS CARGOS" sheetId="19" r:id="rId21"/>
    <sheet state="visible" name="IMPUESTO-BOLSAS GRATUITAS" sheetId="20" r:id="rId22"/>
    <sheet state="visible" name="IMPUESTO-BOLSAS GRAVADAS" sheetId="21" r:id="rId23"/>
  </sheets>
  <definedNames/>
  <calcPr/>
</workbook>
</file>

<file path=xl/sharedStrings.xml><?xml version="1.0" encoding="utf-8"?>
<sst xmlns="http://schemas.openxmlformats.org/spreadsheetml/2006/main" count="3931" uniqueCount="1061">
  <si>
    <t>https://drive.google.com/file/d/160RszuLGOAxe0Lh1dLCQzuzJPpVeLZN4/view</t>
  </si>
  <si>
    <t>Anexo V</t>
  </si>
  <si>
    <t>Anexo N.°8 : Catálogo de códigos</t>
  </si>
  <si>
    <t>No.</t>
  </si>
  <si>
    <t>01</t>
  </si>
  <si>
    <t>Catálogo</t>
  </si>
  <si>
    <t>Código de tipo de documento</t>
  </si>
  <si>
    <t>Código</t>
  </si>
  <si>
    <t>Descripción</t>
  </si>
  <si>
    <t>Factura</t>
  </si>
  <si>
    <t>03</t>
  </si>
  <si>
    <t>Boleta de venta</t>
  </si>
  <si>
    <t>04</t>
  </si>
  <si>
    <t>Liquidación de compra</t>
  </si>
  <si>
    <t>05</t>
  </si>
  <si>
    <t>Boletos de Transporte Aéreo que emiten las Compañías de Aviación Comercial por el servicio de transporte aéreo regular de pasajeros, emitido de manera manual, mecanizada o por medios electrónicos (BME)</t>
  </si>
  <si>
    <t>06</t>
  </si>
  <si>
    <t>Carta de porte aéreo</t>
  </si>
  <si>
    <t>07</t>
  </si>
  <si>
    <t>Nota de crédito</t>
  </si>
  <si>
    <t>08</t>
  </si>
  <si>
    <t>Nota de débito</t>
  </si>
  <si>
    <t>09</t>
  </si>
  <si>
    <t>Guía de remisión remitente</t>
  </si>
  <si>
    <t>Póliza emitida por las Bolsas de Valores</t>
  </si>
  <si>
    <t>12</t>
  </si>
  <si>
    <t>Ticket de máquina registradora</t>
  </si>
  <si>
    <t>13</t>
  </si>
  <si>
    <t>Documento emitido por bancos, instituciones financieras, crediticias y de seguros que se encuentren bajo el control de la Superintendencia de Banca y Seguros</t>
  </si>
  <si>
    <t>Recibo servicios públicos</t>
  </si>
  <si>
    <t>Boletos emitidos por el servicio de transporte terrestre regular urbano de pasajeros y el ferroviario público de pasajeros prestado en vía férrea local</t>
  </si>
  <si>
    <t>Boleto de viaje emitido por las empresas de transporte público interprovincial de pasajeros</t>
  </si>
  <si>
    <t>18</t>
  </si>
  <si>
    <t>Documentos emitidos por las AFP</t>
  </si>
  <si>
    <t>Boleto por atracciones y espectáculos públicos</t>
  </si>
  <si>
    <t>20</t>
  </si>
  <si>
    <t>Comprobante de retención</t>
  </si>
  <si>
    <t>Conocimiento de embarque por el servicio de transporte de carga marítima</t>
  </si>
  <si>
    <t>Pólizas de Adjudicación por remate o adjudicación de bienes</t>
  </si>
  <si>
    <t>Certificado de pago de regalías emitidas por PERUPETRO S.A.</t>
  </si>
  <si>
    <t>Etiquetas por el pago de la Tarifa Unificada de Uso de Aeropuerto – TUUA</t>
  </si>
  <si>
    <t>Documentos emitidos por la COFOPRI</t>
  </si>
  <si>
    <t>30</t>
  </si>
  <si>
    <t>Documentos emitidos por las empresas que desempeñan el rol adquirente en los sistemas de pago mediante tarjetas de crédito y débito, emitidas por bancos e instituciones financieras o crediticias, domiciliados o no en el país.</t>
  </si>
  <si>
    <t>31</t>
  </si>
  <si>
    <t>Guía de remisión transportista</t>
  </si>
  <si>
    <t>Documentos emitidos por recaudadoras de la Garantía de Red Principal</t>
  </si>
  <si>
    <t>Documento del Operador</t>
  </si>
  <si>
    <t>Documento del Partícipe</t>
  </si>
  <si>
    <t>Recibo de Distribución de Gas Natural</t>
  </si>
  <si>
    <t>Documentos que emitan los concesionarios del servicio de revisiones técnicas</t>
  </si>
  <si>
    <t>40</t>
  </si>
  <si>
    <t xml:space="preserve">Comprobante de Percepción </t>
  </si>
  <si>
    <t>41</t>
  </si>
  <si>
    <t>Comprobante de Percepción – Venta interna ( físico - formato impreso)</t>
  </si>
  <si>
    <t>Documentos emitidos por los adq. en los sistemas de pago por tarj. de crédito emitidas por ellas mismas</t>
  </si>
  <si>
    <t>Boleto de compañías de aviación transporte aéreo no regular</t>
  </si>
  <si>
    <t>Documentos emitidos por centros educativos y culturales, universidades, asociaciones y fundaciones</t>
  </si>
  <si>
    <t>BVME para transporte ferroviario de pasajeros</t>
  </si>
  <si>
    <t>56</t>
  </si>
  <si>
    <t>Comprobante de pago SEAE</t>
  </si>
  <si>
    <t>71</t>
  </si>
  <si>
    <t>Guía de remisión remitente complementaria</t>
  </si>
  <si>
    <t>72</t>
  </si>
  <si>
    <t>Guía de remisión transportista complementaria</t>
  </si>
  <si>
    <t>Nota de crédito especial</t>
  </si>
  <si>
    <t>Nota de débito especial</t>
  </si>
  <si>
    <t>02</t>
  </si>
  <si>
    <t>Código de tipo de monedas</t>
  </si>
  <si>
    <t xml:space="preserve">ISO 4217 Alpha Version 2001 </t>
  </si>
  <si>
    <t>http://www.iso.org/iso/home/standards/currency_codes.htm</t>
  </si>
  <si>
    <t>Código de tipo de unidad de medida comercial</t>
  </si>
  <si>
    <t>UN/ECE Recommendation 20 Revision 13</t>
  </si>
  <si>
    <t>https://www.unece.org/fileadmin/DAM/uncefact/recommendations/rec20/rec20_Rev13e_2017.xls</t>
  </si>
  <si>
    <t>Código de país</t>
  </si>
  <si>
    <t>ISO 3166-1</t>
  </si>
  <si>
    <t>http://www.chemie.fu-berlin.de/diverse/doc/ISO_3166.html</t>
  </si>
  <si>
    <t>Código de tipos de tributos y otros conceptos</t>
  </si>
  <si>
    <t>Código internacional</t>
  </si>
  <si>
    <t>Nombre</t>
  </si>
  <si>
    <t>1000</t>
  </si>
  <si>
    <t>IGV Impuesto General a las Ventas</t>
  </si>
  <si>
    <t>VAT</t>
  </si>
  <si>
    <t>IGV</t>
  </si>
  <si>
    <t>Impuesto a la Venta Arroz Pilado</t>
  </si>
  <si>
    <t>IVAP</t>
  </si>
  <si>
    <t>2000</t>
  </si>
  <si>
    <t>ISC Impuesto Selectivo al Consumo</t>
  </si>
  <si>
    <t>EXC</t>
  </si>
  <si>
    <t>ISC</t>
  </si>
  <si>
    <t>Impuesto a la Renta</t>
  </si>
  <si>
    <t>TOX</t>
  </si>
  <si>
    <t>IR</t>
  </si>
  <si>
    <t>Impuesto a la bolsa plastica</t>
  </si>
  <si>
    <t>OTH</t>
  </si>
  <si>
    <t>ICBPER</t>
  </si>
  <si>
    <t>Exportación</t>
  </si>
  <si>
    <t>FRE</t>
  </si>
  <si>
    <t>EXP</t>
  </si>
  <si>
    <t>Gratuito</t>
  </si>
  <si>
    <t>GRA</t>
  </si>
  <si>
    <t>Exonerado</t>
  </si>
  <si>
    <t>EXO</t>
  </si>
  <si>
    <t>Inafecto</t>
  </si>
  <si>
    <t>INA</t>
  </si>
  <si>
    <t>9999</t>
  </si>
  <si>
    <t>Otros tributos</t>
  </si>
  <si>
    <t>OTROS</t>
  </si>
  <si>
    <t>Código de tipo de documento de identidad</t>
  </si>
  <si>
    <t>0</t>
  </si>
  <si>
    <t>DOC.TRIB.NO.DOM.SIN.RUC</t>
  </si>
  <si>
    <t>1</t>
  </si>
  <si>
    <t>Documento Nacional de Identidad</t>
  </si>
  <si>
    <t>4</t>
  </si>
  <si>
    <t>Carnet de extranjería</t>
  </si>
  <si>
    <t>6</t>
  </si>
  <si>
    <t>Registro Unico de Contributentes</t>
  </si>
  <si>
    <t>7</t>
  </si>
  <si>
    <t>Pasaporte</t>
  </si>
  <si>
    <t>A</t>
  </si>
  <si>
    <t>Cédula Diplomática de identidad</t>
  </si>
  <si>
    <t>B</t>
  </si>
  <si>
    <t>DOC.IDENT.PAIS.RESIDENCIA-NO.D</t>
  </si>
  <si>
    <t>C</t>
  </si>
  <si>
    <t>Tax Identification Number - TIN – Doc Trib PP.NN</t>
  </si>
  <si>
    <t>D</t>
  </si>
  <si>
    <t>Identification Number - IN – Doc Trib PP. JJ</t>
  </si>
  <si>
    <t>E</t>
  </si>
  <si>
    <t xml:space="preserve">TAM- Tarjeta Andina de Migración </t>
  </si>
  <si>
    <t>F</t>
  </si>
  <si>
    <t>Permiso Temporal de Permanencia - PTP</t>
  </si>
  <si>
    <t>G</t>
  </si>
  <si>
    <t>Salvoconducto</t>
  </si>
  <si>
    <t>Código de tipo de afectación del IGV</t>
  </si>
  <si>
    <t>Codigo de tributo</t>
  </si>
  <si>
    <t>10</t>
  </si>
  <si>
    <t>Gravado - Operación Onerosa</t>
  </si>
  <si>
    <t>11</t>
  </si>
  <si>
    <t>Gravado – Retiro por premio</t>
  </si>
  <si>
    <t>Gravado – Retiro por donación</t>
  </si>
  <si>
    <t xml:space="preserve">Gravado – Retiro </t>
  </si>
  <si>
    <t>14</t>
  </si>
  <si>
    <t>Gravado – Retiro por publicidad</t>
  </si>
  <si>
    <t>15</t>
  </si>
  <si>
    <t>Gravado – Bonificaciones</t>
  </si>
  <si>
    <t>16</t>
  </si>
  <si>
    <t>Gravado – Retiro por entrega a trabajadores</t>
  </si>
  <si>
    <t>Gravado - IVAP</t>
  </si>
  <si>
    <t>1016 o 9996</t>
  </si>
  <si>
    <t>Exonerado - Operación Onerosa</t>
  </si>
  <si>
    <t>Exonerado - Transferencia gratuita</t>
  </si>
  <si>
    <t>Inafecto - Operación Onerosa</t>
  </si>
  <si>
    <t>Inafecto – Retiro por Bonificación</t>
  </si>
  <si>
    <t>32</t>
  </si>
  <si>
    <t>Inafecto – Retiro</t>
  </si>
  <si>
    <t>33</t>
  </si>
  <si>
    <t>Inafecto – Retiro por Muestras Médicas</t>
  </si>
  <si>
    <t>34</t>
  </si>
  <si>
    <t>Inafecto - Retiro por Convenio Colectivo</t>
  </si>
  <si>
    <t>35</t>
  </si>
  <si>
    <t>Inafecto – Retiro por premio</t>
  </si>
  <si>
    <t>36</t>
  </si>
  <si>
    <t>Inafecto - Retiro por publicidad</t>
  </si>
  <si>
    <t>Inafecto - Transferencia gratuita</t>
  </si>
  <si>
    <t>Exportación de Bienes o Servicios</t>
  </si>
  <si>
    <t>9995 o 9996</t>
  </si>
  <si>
    <t>Código de tipos de sistema de cálculo del ISC</t>
  </si>
  <si>
    <t>Sistema al valor (Apéndice IV, lit. A – T.U.O IGV e ISC)</t>
  </si>
  <si>
    <t>Aplicación del Monto Fijo ( Sistema específico, bienes en el apéndice III, Apéndice IV, lit. B – T.U.O IGV e ISC)</t>
  </si>
  <si>
    <t>Sistema de Precios de Venta al Público (Apéndice IV, lit. C – T.U.O IGV e ISC)</t>
  </si>
  <si>
    <t>Códigos de tipo de nota de crédito electrónica</t>
  </si>
  <si>
    <t>Anulación de la operación</t>
  </si>
  <si>
    <t>Anulación por error en el RUC</t>
  </si>
  <si>
    <t>Corrección por error en la descripción</t>
  </si>
  <si>
    <t>Descuento global</t>
  </si>
  <si>
    <t>Descuento por ítem</t>
  </si>
  <si>
    <t>Devolución total</t>
  </si>
  <si>
    <t>Devolución por ítem</t>
  </si>
  <si>
    <t>Bonificación</t>
  </si>
  <si>
    <t>Disminución en el valor</t>
  </si>
  <si>
    <t xml:space="preserve">Otros Conceptos </t>
  </si>
  <si>
    <t>Ajustes de operaciones de exportación</t>
  </si>
  <si>
    <t>Ajustes afectos al IVAP</t>
  </si>
  <si>
    <t>Ajustes – montos y/o fechas de pago</t>
  </si>
  <si>
    <t>Códigos de tipo de nota de débito electrónica</t>
  </si>
  <si>
    <t>Intereses por mora</t>
  </si>
  <si>
    <t>Aumento en el valor</t>
  </si>
  <si>
    <t xml:space="preserve">Penalidades/ otros conceptos </t>
  </si>
  <si>
    <t>Códigos de tipo de valor de venta (Resumen diario de boletas y notas)</t>
  </si>
  <si>
    <t>Gravado</t>
  </si>
  <si>
    <t>Gratuitas</t>
  </si>
  <si>
    <t>Código de documentos relacionados tributarios</t>
  </si>
  <si>
    <t>Factura – emitida para corregir error en el RUC</t>
  </si>
  <si>
    <t>Factura – emitida por anticipos</t>
  </si>
  <si>
    <t>Boleta de Venta – emitida por anticipos</t>
  </si>
  <si>
    <t xml:space="preserve">Ticket de Salida - ENAPU </t>
  </si>
  <si>
    <t>Código SCOP</t>
  </si>
  <si>
    <t>Factura electrónica remitente</t>
  </si>
  <si>
    <t>Guia de remisión remitente</t>
  </si>
  <si>
    <t xml:space="preserve">Declaración de salida del depósito franco </t>
  </si>
  <si>
    <t xml:space="preserve">Declaración simplificada de importación </t>
  </si>
  <si>
    <t>Liquidación de compra - emitida por anticipos</t>
  </si>
  <si>
    <t>99</t>
  </si>
  <si>
    <t>Otros</t>
  </si>
  <si>
    <t>Código de ubicación geográfica (UBIGEO)</t>
  </si>
  <si>
    <t>Catálogo de ubigeos del INEI</t>
  </si>
  <si>
    <t>http://webinei.inei.gob.pe:8080/sisconcode/proyecto/index.htm?proyectoTitulo=UBIGEO&amp;proyectoId=3</t>
  </si>
  <si>
    <t>Código de otros conceptos tributarios</t>
  </si>
  <si>
    <t>Total valor de venta - operaciones exportadas</t>
  </si>
  <si>
    <t>1001</t>
  </si>
  <si>
    <t>Total valor de venta - operaciones gravadas</t>
  </si>
  <si>
    <t>1002</t>
  </si>
  <si>
    <t>Total valor de venta - operaciones inafectas</t>
  </si>
  <si>
    <t>1003</t>
  </si>
  <si>
    <t>Total valor de venta - operaciones exoneradas</t>
  </si>
  <si>
    <t>1004</t>
  </si>
  <si>
    <t>Total valor de venta – Operaciones gratuitas</t>
  </si>
  <si>
    <t>1005</t>
  </si>
  <si>
    <t>Sub total de venta</t>
  </si>
  <si>
    <t>2001</t>
  </si>
  <si>
    <t>Percepciones</t>
  </si>
  <si>
    <t>2002</t>
  </si>
  <si>
    <t>Retenciones</t>
  </si>
  <si>
    <t>2003</t>
  </si>
  <si>
    <t>Detracciones</t>
  </si>
  <si>
    <t>2004</t>
  </si>
  <si>
    <t>Bonificaciones</t>
  </si>
  <si>
    <t>2005</t>
  </si>
  <si>
    <t>Total descuentos</t>
  </si>
  <si>
    <t>FISE (Ley 29852) Fondo Inclusión Social Energético</t>
  </si>
  <si>
    <t>Códigos de elementos adicionales en la factura y boleta electrónica</t>
  </si>
  <si>
    <t>Monto en Letras</t>
  </si>
  <si>
    <t>Leyenda "TRANSFERENCIA GRATUITA DE UN BIEN Y/O SERVICIO PRESTADO GRATUITAMENTE"</t>
  </si>
  <si>
    <t>Leyenda “COMPROBANTE DE PERCEPCIÓN”</t>
  </si>
  <si>
    <t>Leyenda “BIENES TRANSFERIDOS EN LA AMAZONÍA REGIÓN SELVAPARA SER CONSUMIDOS EN LA MISMA"</t>
  </si>
  <si>
    <t>Leyenda “SERVICIOS PRESTADOS EN LA AMAZONÍA  REGIÓN SELVA PARA SER CONSUMIDOS EN LA MISMA”</t>
  </si>
  <si>
    <t>Leyenda “CONTRATOS DE CONSTRUCCIÓN EJECUTADOS  EN LA AMAZONÍA REGIÓN SELVA”</t>
  </si>
  <si>
    <t xml:space="preserve">Leyenda “Agencia de Viaje - Paquete turístico” </t>
  </si>
  <si>
    <t xml:space="preserve">Leyenda “Venta realizada por emisor itinerante” </t>
  </si>
  <si>
    <t>2006</t>
  </si>
  <si>
    <r>
      <rPr>
        <rFont val="calibri, Arial"/>
        <color rgb="FF000000"/>
      </rPr>
      <t xml:space="preserve">Leyenda: </t>
    </r>
    <r>
      <rPr>
        <rFont val="Calibri"/>
        <color rgb="FF000000"/>
        <sz val="10.0"/>
      </rPr>
      <t>Operación sujeta a detracción</t>
    </r>
  </si>
  <si>
    <t>Leyenda: Operación sujeta a IVAP</t>
  </si>
  <si>
    <t>Restitución Simplificado de Derechos Arancelarios</t>
  </si>
  <si>
    <t>3000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</si>
  <si>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CODIGO DE BB Y SS SUJETOS A DETRACCION</t>
    </r>
  </si>
  <si>
    <t>3001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</si>
  <si>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NUMERO DE CTA EN EL BN</t>
    </r>
  </si>
  <si>
    <t>3002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</si>
  <si>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Hidrobiológicos-Nombre y matrícula de la embarcación</t>
    </r>
  </si>
  <si>
    <t>3003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</si>
  <si>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Hidrobiológicos-Tipo y cantidad de especie vendida</t>
    </r>
  </si>
  <si>
    <t>3004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</si>
  <si>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 -Lugar de descarga</t>
    </r>
  </si>
  <si>
    <t>3005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</si>
  <si>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 -Fecha de descarga</t>
    </r>
  </si>
  <si>
    <t>3006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</si>
  <si>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Transporte Bienes vía terrestre – Numero Registro MTC</t>
    </r>
  </si>
  <si>
    <t>3007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</si>
  <si>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Transporte Bienes vía terrestre – configuración vehicular</t>
    </r>
  </si>
  <si>
    <t>3008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</si>
  <si>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Transporte Bienes vía terrestre – punto de origen</t>
    </r>
  </si>
  <si>
    <t>3009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</si>
  <si>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Transporte Bienes vía terrestre – punto destino</t>
    </r>
  </si>
  <si>
    <t>3010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</si>
  <si>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Transporte Bienes vía terrestre – valor referencial preliminar</t>
    </r>
  </si>
  <si>
    <t>4000</t>
  </si>
  <si>
    <t>Beneficio hospedajes: Código País de emisión del pasaporte</t>
  </si>
  <si>
    <t>4001</t>
  </si>
  <si>
    <t>Beneficio hospedajes: Código País de residencia del sujeto no domiciliado</t>
  </si>
  <si>
    <t>4002</t>
  </si>
  <si>
    <t xml:space="preserve">Beneficio Hospedajes: Fecha de ingreso al país </t>
  </si>
  <si>
    <t>4003</t>
  </si>
  <si>
    <t>Beneficio Hospedajes: Fecha de ingreso al establecimiento</t>
  </si>
  <si>
    <t>4004</t>
  </si>
  <si>
    <t>Beneficio Hospedajes: Fecha de salida del establecimiento</t>
  </si>
  <si>
    <t>4005</t>
  </si>
  <si>
    <t>Beneficio Hospedajes: Número de días de permanencia</t>
  </si>
  <si>
    <t>4006</t>
  </si>
  <si>
    <t xml:space="preserve">Beneficio Hospedajes: Fecha de consumo </t>
  </si>
  <si>
    <t>4007</t>
  </si>
  <si>
    <t xml:space="preserve">Beneficio Hospedajes: Paquete turístico - Nombres y Apellidos del Huésped </t>
  </si>
  <si>
    <t>4008</t>
  </si>
  <si>
    <t xml:space="preserve">Beneficio Hospedajes: Paquete turístico – Tipo documento identidad del huésped  </t>
  </si>
  <si>
    <t>4009</t>
  </si>
  <si>
    <t xml:space="preserve">Beneficio Hospedajes: Paquete turístico – Numero de documento identidad de huésped </t>
  </si>
  <si>
    <t>5000</t>
  </si>
  <si>
    <t>Proveedores Estado: Número de Expediente</t>
  </si>
  <si>
    <t>5001</t>
  </si>
  <si>
    <t>Proveedores Estado : Código de unidad ejecutora</t>
  </si>
  <si>
    <t>5002</t>
  </si>
  <si>
    <t>Proveedores Estado : N° de proceso de selección</t>
  </si>
  <si>
    <t>5003</t>
  </si>
  <si>
    <t>Proveedores Estado : N° de contrato</t>
  </si>
  <si>
    <t>6000</t>
  </si>
  <si>
    <t>Comercialización de Oro :  Código Unico Concesión Minera</t>
  </si>
  <si>
    <t>6001</t>
  </si>
  <si>
    <t>Comercialización de Oro :  N° declaración compromiso</t>
  </si>
  <si>
    <t>6002</t>
  </si>
  <si>
    <t>Comercialización de Oro :  N° Reg. Especial .Comerci. Oro</t>
  </si>
  <si>
    <t>6003</t>
  </si>
  <si>
    <t>Comercialización de Oro :  N° Resolución que autoriza Planta de Beneficio</t>
  </si>
  <si>
    <t>6004</t>
  </si>
  <si>
    <t>Comercialización de Oro : Ley Mineral (% concent. oro)</t>
  </si>
  <si>
    <t>6005</t>
  </si>
  <si>
    <t>Comercialización de Oro : Naturaleza del mineral</t>
  </si>
  <si>
    <t>6006</t>
  </si>
  <si>
    <t>Comercialización de Oro : Nombre del derecho minero</t>
  </si>
  <si>
    <t>Primera venta de mercancia identificable entre usuarios de la zona comercial</t>
  </si>
  <si>
    <t>Venta exonerada del IGV-ISC-IPM. Prohibida la venta fuera de la zona comercial de Tacna</t>
  </si>
  <si>
    <t>Código de tipo de precio de venta unitario</t>
  </si>
  <si>
    <t>Precio unitario (incluye el IGV)</t>
  </si>
  <si>
    <t>Valor referencial unitario en operaciones no onerosas (Gratuitas)</t>
  </si>
  <si>
    <t xml:space="preserve">Tarifas reguladas </t>
  </si>
  <si>
    <t>17</t>
  </si>
  <si>
    <t>Código de tipo de operación</t>
  </si>
  <si>
    <t>Venta lnterna</t>
  </si>
  <si>
    <t>Exportación de bienes</t>
  </si>
  <si>
    <t>No Domiciliados</t>
  </si>
  <si>
    <t>Venta Interna – Anticipos</t>
  </si>
  <si>
    <t xml:space="preserve">Venta Itinerante </t>
  </si>
  <si>
    <t>Factura Guía</t>
  </si>
  <si>
    <t>Venta Arroz Pilado</t>
  </si>
  <si>
    <t>Factura - Comprobante de Percepción</t>
  </si>
  <si>
    <t>Factura - Guía remitente</t>
  </si>
  <si>
    <t>Factura - Guía transportista</t>
  </si>
  <si>
    <t>Boleta de venta – Comprobante de Percepción.</t>
  </si>
  <si>
    <t>Gasto Deducible Persona Natural</t>
  </si>
  <si>
    <t>Exportación de servicios – prestación de servicios de hospedaje No Dom</t>
  </si>
  <si>
    <t>Exportación de servicios – Transporte de navieras</t>
  </si>
  <si>
    <t>Exportación de servicios – servicios  a naves y aeronaves de bandera extranjera</t>
  </si>
  <si>
    <t>Exportación de servicios – RES</t>
  </si>
  <si>
    <t>Exportación de servicios  - Servicios que conformen un Paquete Turístico</t>
  </si>
  <si>
    <t>Exportación de servicios – Servicios complementarios al transporte de carga</t>
  </si>
  <si>
    <t>Exportación de servicios – Suministro de energía eléctrica a favor de sujetos domiciliados en ZED</t>
  </si>
  <si>
    <t>Exportación de servicios – Prestación servicios realizados parcialmente en el extranjero</t>
  </si>
  <si>
    <t>Código de modalidad de transporte</t>
  </si>
  <si>
    <t>Transporte público</t>
  </si>
  <si>
    <t>Transporte privado</t>
  </si>
  <si>
    <t>19</t>
  </si>
  <si>
    <t>Código de estado del ítem (resumen diario)</t>
  </si>
  <si>
    <t xml:space="preserve"> Adicionar</t>
  </si>
  <si>
    <t>2</t>
  </si>
  <si>
    <t xml:space="preserve"> Modificar</t>
  </si>
  <si>
    <t xml:space="preserve"> Anulado</t>
  </si>
  <si>
    <t>Código de motivo de traslado</t>
  </si>
  <si>
    <t>Venta</t>
  </si>
  <si>
    <t>Compra</t>
  </si>
  <si>
    <t>Traslado entre establecimientos de la misma empresa</t>
  </si>
  <si>
    <t>Importación</t>
  </si>
  <si>
    <t xml:space="preserve">Venta sujeta a confirmación del comprador   </t>
  </si>
  <si>
    <t>Traslado emisor itinerante CP</t>
  </si>
  <si>
    <t>Traslado a zona primaria</t>
  </si>
  <si>
    <t>21</t>
  </si>
  <si>
    <t>Código de documentos relacionados (sólo guía de remisión electrónica)</t>
  </si>
  <si>
    <t>Numeración DAM</t>
  </si>
  <si>
    <t>Número de orden de entrega</t>
  </si>
  <si>
    <t>Número SCOP</t>
  </si>
  <si>
    <t>Número de manifiesto de carga</t>
  </si>
  <si>
    <t>Número de constancia de detracción</t>
  </si>
  <si>
    <t>22</t>
  </si>
  <si>
    <t>Código de regimen de percepciones</t>
  </si>
  <si>
    <t>Porcentaje %</t>
  </si>
  <si>
    <t>Percepción Venta Interna</t>
  </si>
  <si>
    <t>Percepción a la adquisición de combustible</t>
  </si>
  <si>
    <t>Percepción realizada al agente de percepción con tasa especial</t>
  </si>
  <si>
    <t>23</t>
  </si>
  <si>
    <t>Código de regimen de retenciones</t>
  </si>
  <si>
    <t>Tasa 3%</t>
  </si>
  <si>
    <t>Tasa 6%</t>
  </si>
  <si>
    <t>24</t>
  </si>
  <si>
    <t>Código de tarifa de servicios públicos</t>
  </si>
  <si>
    <t>Código de tarifa</t>
  </si>
  <si>
    <t>Servicio aplicable</t>
  </si>
  <si>
    <t>L001</t>
  </si>
  <si>
    <t>AT2</t>
  </si>
  <si>
    <t>LUZ</t>
  </si>
  <si>
    <t>L002</t>
  </si>
  <si>
    <t>MT2</t>
  </si>
  <si>
    <t>L003</t>
  </si>
  <si>
    <t>MT3</t>
  </si>
  <si>
    <t>L004</t>
  </si>
  <si>
    <t>MT4</t>
  </si>
  <si>
    <t>L005</t>
  </si>
  <si>
    <t>BT2</t>
  </si>
  <si>
    <t>L006</t>
  </si>
  <si>
    <t>BT3</t>
  </si>
  <si>
    <t>L007</t>
  </si>
  <si>
    <t>BT4</t>
  </si>
  <si>
    <t>L008</t>
  </si>
  <si>
    <t>BT5A</t>
  </si>
  <si>
    <t>L009</t>
  </si>
  <si>
    <t xml:space="preserve">BT5B </t>
  </si>
  <si>
    <t>L010</t>
  </si>
  <si>
    <t>BT6</t>
  </si>
  <si>
    <t>L011</t>
  </si>
  <si>
    <t>BT5C-AP</t>
  </si>
  <si>
    <t>L012</t>
  </si>
  <si>
    <t>BT5D</t>
  </si>
  <si>
    <t>L013</t>
  </si>
  <si>
    <t>BT5E</t>
  </si>
  <si>
    <t>L014</t>
  </si>
  <si>
    <t>BT7</t>
  </si>
  <si>
    <t>L015</t>
  </si>
  <si>
    <t>BT8</t>
  </si>
  <si>
    <t>L016</t>
  </si>
  <si>
    <t>BT5C</t>
  </si>
  <si>
    <t>L017</t>
  </si>
  <si>
    <t>MT2L</t>
  </si>
  <si>
    <t>L018</t>
  </si>
  <si>
    <t>MT2L_1 a MT2L21</t>
  </si>
  <si>
    <t>L019</t>
  </si>
  <si>
    <t>MT2A a MT2Z</t>
  </si>
  <si>
    <t>L020</t>
  </si>
  <si>
    <t xml:space="preserve">AT1 </t>
  </si>
  <si>
    <t>L021</t>
  </si>
  <si>
    <t>MT1</t>
  </si>
  <si>
    <t>A011</t>
  </si>
  <si>
    <t>COMERCIAL</t>
  </si>
  <si>
    <t>AGUA</t>
  </si>
  <si>
    <t>A012</t>
  </si>
  <si>
    <t>INDUSTRIAL</t>
  </si>
  <si>
    <t>A013</t>
  </si>
  <si>
    <t>ESTATAL</t>
  </si>
  <si>
    <t>A014</t>
  </si>
  <si>
    <t>DOMÉSTICO</t>
  </si>
  <si>
    <t>A015</t>
  </si>
  <si>
    <t>SOCIAL</t>
  </si>
  <si>
    <t>A016</t>
  </si>
  <si>
    <t>MULTIFAMILIAR INDIVIDUALIZADO</t>
  </si>
  <si>
    <t>A017</t>
  </si>
  <si>
    <t>MULTIFAMILIAR NO INDIVIDUALIZADO</t>
  </si>
  <si>
    <t>G001</t>
  </si>
  <si>
    <t>CAT – A1</t>
  </si>
  <si>
    <t>GAS</t>
  </si>
  <si>
    <t>G002</t>
  </si>
  <si>
    <t>CAT – A2</t>
  </si>
  <si>
    <t>G003</t>
  </si>
  <si>
    <t>CAT – B</t>
  </si>
  <si>
    <t>G004</t>
  </si>
  <si>
    <t>CAT - C</t>
  </si>
  <si>
    <t>G005</t>
  </si>
  <si>
    <t>CAT – D</t>
  </si>
  <si>
    <t>G006</t>
  </si>
  <si>
    <t>CAT – E</t>
  </si>
  <si>
    <t>G007</t>
  </si>
  <si>
    <t>CAT – GE</t>
  </si>
  <si>
    <t>G008</t>
  </si>
  <si>
    <t>CAT – IP</t>
  </si>
  <si>
    <t>G009</t>
  </si>
  <si>
    <t>CAT – GNV</t>
  </si>
  <si>
    <t>G010</t>
  </si>
  <si>
    <t>CAT - A</t>
  </si>
  <si>
    <t>G011</t>
  </si>
  <si>
    <t>CAT - B1</t>
  </si>
  <si>
    <t>G012</t>
  </si>
  <si>
    <t>CAT - B2</t>
  </si>
  <si>
    <t>G013</t>
  </si>
  <si>
    <t>CAT - PESCA</t>
  </si>
  <si>
    <t>G014</t>
  </si>
  <si>
    <t>CAT - TIPO I</t>
  </si>
  <si>
    <t>G015</t>
  </si>
  <si>
    <t>CAT - TIPO II-A</t>
  </si>
  <si>
    <t>G016</t>
  </si>
  <si>
    <t>CAT - TIPO II-B</t>
  </si>
  <si>
    <t>G017</t>
  </si>
  <si>
    <t>CAT - TIPO III</t>
  </si>
  <si>
    <t>G018</t>
  </si>
  <si>
    <t>CAT - TIPO IV</t>
  </si>
  <si>
    <t>G019</t>
  </si>
  <si>
    <t>CAT - TIPO V</t>
  </si>
  <si>
    <t>G020</t>
  </si>
  <si>
    <t>CAT - TIPO VI</t>
  </si>
  <si>
    <t>G021</t>
  </si>
  <si>
    <t>CAT - TIPO VII</t>
  </si>
  <si>
    <t>25</t>
  </si>
  <si>
    <t>Código de producto SUNAT</t>
  </si>
  <si>
    <t>Sistema de Codificación Común de las Naciones Unidas - UNSPSC v14_0801 (nivel 3)</t>
  </si>
  <si>
    <t>https://www.unspsc.org/codeset-downloads/productid/28/createdbyuser/3?txtsearch=</t>
  </si>
  <si>
    <t>26</t>
  </si>
  <si>
    <t xml:space="preserve">Tipo de préstamo (créditos hipotecarios) </t>
  </si>
  <si>
    <t>Sin información</t>
  </si>
  <si>
    <t xml:space="preserve">Si es construcción /adquisición </t>
  </si>
  <si>
    <t>Si es para refacción, remodelación, ampliación, mejoramiento o subdivisión de vivienda propia.</t>
  </si>
  <si>
    <t>Indicador de primera vivienda</t>
  </si>
  <si>
    <t>Sin indicador</t>
  </si>
  <si>
    <t>Calificado para crédito Mi Vivienda / Techo Propio</t>
  </si>
  <si>
    <t>Libre disposición de la AFP</t>
  </si>
  <si>
    <t>Calificado como primera vivienda de acuerdo a la información proporcionada por el cliente (para créditos otorgados a partir del 01.01.2013)</t>
  </si>
  <si>
    <t xml:space="preserve"> Código de tipo de operación</t>
  </si>
  <si>
    <t>Tipo de Comprobante asociado</t>
  </si>
  <si>
    <t>0101</t>
  </si>
  <si>
    <t>Venta interna</t>
  </si>
  <si>
    <t>Factura, Boletas</t>
  </si>
  <si>
    <t>0112</t>
  </si>
  <si>
    <t>Venta Interna - Sustenta Gastos Deducibles Persona Natural</t>
  </si>
  <si>
    <t>Factura </t>
  </si>
  <si>
    <t>0113</t>
  </si>
  <si>
    <t>Venta Interna-NRUS</t>
  </si>
  <si>
    <t>Boleta</t>
  </si>
  <si>
    <t>0200</t>
  </si>
  <si>
    <t>Exportación de Bienes</t>
  </si>
  <si>
    <t>0201</t>
  </si>
  <si>
    <t>Exportación de Servicios – Prestación servicios realizados íntegramente en el país</t>
  </si>
  <si>
    <t>0202</t>
  </si>
  <si>
    <t>Exportación de Servicios – Prestación de servicios de hospedaje No Domiciliado</t>
  </si>
  <si>
    <t>0203</t>
  </si>
  <si>
    <t>Exportación de Servicios – Transporte de navieras</t>
  </si>
  <si>
    <t>0204</t>
  </si>
  <si>
    <t>Exportación de Servicios – Servicios  a naves y aeronaves de bandera extranjera</t>
  </si>
  <si>
    <t>0205</t>
  </si>
  <si>
    <t>Exportación de Servicios  - Servicios que conformen un Paquete Turístico</t>
  </si>
  <si>
    <t>0206</t>
  </si>
  <si>
    <t>Exportación de Servicios – Servicios complementarios al transporte de carga</t>
  </si>
  <si>
    <t>0207</t>
  </si>
  <si>
    <t>Exportación de Servicios – Suministro de energía eléctrica a favor de sujetos domiciliados en ZED</t>
  </si>
  <si>
    <t>0208</t>
  </si>
  <si>
    <t>Exportación de Servicios – Prestación servicios realizados parcialmente en el extranjero</t>
  </si>
  <si>
    <t>0301</t>
  </si>
  <si>
    <t>Operaciones con Carta de porte aéreo (emitidas en el ámbito nacional)</t>
  </si>
  <si>
    <t>0302</t>
  </si>
  <si>
    <t>Operaciones de Transporte ferroviario de pasajeros</t>
  </si>
  <si>
    <t>0401</t>
  </si>
  <si>
    <t>Ventas no domiciliados que no califican como exportación</t>
  </si>
  <si>
    <t>0501</t>
  </si>
  <si>
    <t>Compra interna</t>
  </si>
  <si>
    <t>0502</t>
  </si>
  <si>
    <t>Anticipos</t>
  </si>
  <si>
    <t>0503</t>
  </si>
  <si>
    <t>Compra de oro</t>
  </si>
  <si>
    <t>Operación Sujeta a Detracción</t>
  </si>
  <si>
    <t>Operación Sujeta a Detracción- Recursos Hidrobiológicos</t>
  </si>
  <si>
    <t>Operación Sujeta a Detracción- Servicios de Transporte Pasajeros</t>
  </si>
  <si>
    <t>Operación Sujeta a Detracción- Servicios de Transporte Carga</t>
  </si>
  <si>
    <t>Operación Sujeta a Percepción</t>
  </si>
  <si>
    <t>Operación sujeta a Retención de Renta de segunda categoría</t>
  </si>
  <si>
    <t>2100</t>
  </si>
  <si>
    <t>Créditos a empresas</t>
  </si>
  <si>
    <t>2101</t>
  </si>
  <si>
    <t>Créditos de consumo revolvente</t>
  </si>
  <si>
    <t>2102</t>
  </si>
  <si>
    <t xml:space="preserve">Créditos de consumo no revolvente </t>
  </si>
  <si>
    <t>2103</t>
  </si>
  <si>
    <t>Otras operaciones no gravadas - Empresas del sistema financiero y cooperativas de ahorro y crédito no autorizadas a captar recursos del público</t>
  </si>
  <si>
    <t>2104</t>
  </si>
  <si>
    <t>Otras operaciones no  gravadas - Empresas del sistema de seguros</t>
  </si>
  <si>
    <t>2105</t>
  </si>
  <si>
    <t>Comprobante emitido por AFP</t>
  </si>
  <si>
    <t>2106</t>
  </si>
  <si>
    <t>Venta Nacional a Turistas - Tax Free</t>
  </si>
  <si>
    <t>Códigos de leyendas</t>
  </si>
  <si>
    <t>Leyenda “BIENES TRANSFERIDOS EN LA AMAZONÍA REGIÓN SELVA PARA SER CONSUMIDOS EN LA MISMA"</t>
  </si>
  <si>
    <r>
      <rPr>
        <rFont val="calibri, Arial"/>
        <color rgb="FF000000"/>
      </rPr>
      <t>Leyenda</t>
    </r>
    <r>
      <rPr>
        <rFont val="Calibri"/>
        <color rgb="FF000000"/>
        <sz val="10.0"/>
      </rPr>
      <t xml:space="preserve"> "Operación sujeta a detracción"</t>
    </r>
  </si>
  <si>
    <t>2007</t>
  </si>
  <si>
    <r>
      <rPr>
        <rFont val="calibri, Arial"/>
        <color rgb="FF000000"/>
      </rPr>
      <t>Leyenda</t>
    </r>
    <r>
      <rPr>
        <rFont val="Calibri"/>
        <color rgb="FF000000"/>
        <sz val="10.0"/>
      </rPr>
      <t xml:space="preserve"> "Operación sujeta al IVAP"</t>
    </r>
  </si>
  <si>
    <t>Leyenda: “VENTA EXONERADA DEL IGV-ISC-IPM. PROHIBIDA LA VENTA FUERA DE LA ZONA COMERCIAL DE TACNA”</t>
  </si>
  <si>
    <t>Leyenda: “PRIMERA VENTA DE MERCANCÍA IDENTIFICABLE ENTRE USUARIOS DE LA ZONA COMERCIAL”</t>
  </si>
  <si>
    <t>2010</t>
  </si>
  <si>
    <t>Restitucion Simplificado de Derechos Arancelarios</t>
  </si>
  <si>
    <t>2011</t>
  </si>
  <si>
    <t>Leyenda “EXPORTACION DE SERVICIOS - DECRETO LEGISLATIVO Nº 919”</t>
  </si>
  <si>
    <t>Códigos de cargos, descuentos y otras deducciones</t>
  </si>
  <si>
    <t>Nível</t>
  </si>
  <si>
    <t>00</t>
  </si>
  <si>
    <t>Descuentos que afectan la base imponible del IGV/IVAP</t>
  </si>
  <si>
    <t>Item</t>
  </si>
  <si>
    <t>Descuentos que no afectan la base imponible del IGV/IVAP</t>
  </si>
  <si>
    <t>Descuentos globales que afectan la base imponible del IGV/IVAP</t>
  </si>
  <si>
    <t>Global</t>
  </si>
  <si>
    <t>Descuentos globales que no afectan la base imponible del IGV/IVAP</t>
  </si>
  <si>
    <t xml:space="preserve">Descuentos globales por anticipos gravados que afectan la base imponible del IGV/IVAP </t>
  </si>
  <si>
    <t>Descuentos globales por anticipos exonerados</t>
  </si>
  <si>
    <t>Descuentos globales por anticipos inafectos</t>
  </si>
  <si>
    <t>Factor de compensación - Decreto de urgencia N. 010-2004</t>
  </si>
  <si>
    <t>Anticipo de ISC</t>
  </si>
  <si>
    <t>45</t>
  </si>
  <si>
    <t>FISE</t>
  </si>
  <si>
    <t>46</t>
  </si>
  <si>
    <t>Recargo al consumo y/o propinas</t>
  </si>
  <si>
    <t>47</t>
  </si>
  <si>
    <t>Cargos que afectan la base imponible del IGV/IVAP</t>
  </si>
  <si>
    <t>48</t>
  </si>
  <si>
    <t>Cargos que no afectan la base imponible del IGV/IVAP</t>
  </si>
  <si>
    <t>49</t>
  </si>
  <si>
    <t>Cargos globales que afectan la base imponible del IGV/IVAP</t>
  </si>
  <si>
    <t>Cargos globales que no afectan la base imponible del IGV/IVAP</t>
  </si>
  <si>
    <t>Percepción venta interna</t>
  </si>
  <si>
    <t>54</t>
  </si>
  <si>
    <t>Factor de aportación - Decreto de urgencia N. 010-2004</t>
  </si>
  <si>
    <t>61</t>
  </si>
  <si>
    <t>Retención de renta por anticipos</t>
  </si>
  <si>
    <t>62</t>
  </si>
  <si>
    <t>Retención del IGV</t>
  </si>
  <si>
    <t>63</t>
  </si>
  <si>
    <t>Rentención de renta de segunda categoría</t>
  </si>
  <si>
    <t>Códigos de bienes y servicios sujetos a detracciones</t>
  </si>
  <si>
    <t>001</t>
  </si>
  <si>
    <t>Azúcar y melaza de caña</t>
  </si>
  <si>
    <t>002</t>
  </si>
  <si>
    <t>Arroz</t>
  </si>
  <si>
    <t>003</t>
  </si>
  <si>
    <t>Alcohol etílico</t>
  </si>
  <si>
    <t>004</t>
  </si>
  <si>
    <t>Recursos hidrobiológicos</t>
  </si>
  <si>
    <t>005</t>
  </si>
  <si>
    <t>Maíz amarillo duro</t>
  </si>
  <si>
    <t>007</t>
  </si>
  <si>
    <t>Caña de azúcar</t>
  </si>
  <si>
    <t>008</t>
  </si>
  <si>
    <t>Madera</t>
  </si>
  <si>
    <t>009</t>
  </si>
  <si>
    <t>Arena y piedra.</t>
  </si>
  <si>
    <t>010</t>
  </si>
  <si>
    <t>Residuos, subproductos, desechos, recortes y desperdicios</t>
  </si>
  <si>
    <t>011</t>
  </si>
  <si>
    <t>Bienes gravados con el IGV, o renuncia a la exoneración</t>
  </si>
  <si>
    <t>012</t>
  </si>
  <si>
    <t>Intermediación laboral y tercerización</t>
  </si>
  <si>
    <t>013</t>
  </si>
  <si>
    <t>Animales vivos</t>
  </si>
  <si>
    <t>014</t>
  </si>
  <si>
    <t>Carnes y despojos comestibles</t>
  </si>
  <si>
    <t>015</t>
  </si>
  <si>
    <t>Abonos, cueros y pieles de origen animal</t>
  </si>
  <si>
    <t>016</t>
  </si>
  <si>
    <t>Aceite de pescado</t>
  </si>
  <si>
    <t>017</t>
  </si>
  <si>
    <t>Harina, polvo y “pellets” de pescado, crustáceos, moluscos y demás invertebrados acuáticos</t>
  </si>
  <si>
    <t>019</t>
  </si>
  <si>
    <t>Arrendamiento de bienes muebles</t>
  </si>
  <si>
    <t>020</t>
  </si>
  <si>
    <t>Mantenimiento y reparación de bienes muebles</t>
  </si>
  <si>
    <t>021</t>
  </si>
  <si>
    <t>Movimiento de carga</t>
  </si>
  <si>
    <t>022</t>
  </si>
  <si>
    <t>Otros servicios empresariales</t>
  </si>
  <si>
    <t>023</t>
  </si>
  <si>
    <t>Leche</t>
  </si>
  <si>
    <t>024</t>
  </si>
  <si>
    <t>Comisión mercantil</t>
  </si>
  <si>
    <t>025</t>
  </si>
  <si>
    <t>Fabricación de bienes por encargo</t>
  </si>
  <si>
    <t>026</t>
  </si>
  <si>
    <t>Servicio de transporte de personas</t>
  </si>
  <si>
    <t>027</t>
  </si>
  <si>
    <t>Servicio de transporte de carga</t>
  </si>
  <si>
    <t>028</t>
  </si>
  <si>
    <t>Transporte de pasajeros</t>
  </si>
  <si>
    <t>030</t>
  </si>
  <si>
    <t>Contratos de construcción</t>
  </si>
  <si>
    <t>031</t>
  </si>
  <si>
    <t>Oro gravado con el IGV</t>
  </si>
  <si>
    <t>032</t>
  </si>
  <si>
    <t>Paprika y otros frutos de los generos capsicum o pimienta</t>
  </si>
  <si>
    <t>034</t>
  </si>
  <si>
    <t>Minerales metálicos no auríferos</t>
  </si>
  <si>
    <t>035</t>
  </si>
  <si>
    <t>Bienes exonerados del IGV</t>
  </si>
  <si>
    <t>036</t>
  </si>
  <si>
    <t>Oro y demás minerales metálicos exonerados del IGV</t>
  </si>
  <si>
    <t>037</t>
  </si>
  <si>
    <t>Demás servicios gravados con el IGV</t>
  </si>
  <si>
    <t>039</t>
  </si>
  <si>
    <t>Minerales no metálicos</t>
  </si>
  <si>
    <t>040</t>
  </si>
  <si>
    <t>Bien inmueble gravado con IGV</t>
  </si>
  <si>
    <t>041</t>
  </si>
  <si>
    <t>Plomo</t>
  </si>
  <si>
    <t>099</t>
  </si>
  <si>
    <t>Ley 30737</t>
  </si>
  <si>
    <t>Código de identificación del concepto tributario</t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</si>
  <si>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Hidrobiológicos-Matrícula de la embarcación</t>
    </r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</si>
  <si>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Hidrobiológicos-Nombre de la embarcación</t>
    </r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</si>
  <si>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Hidrobiológicos-Tipo de especie vendida</t>
    </r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</si>
  <si>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Hidrobiológicos-Lugar de descarga</t>
    </r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</si>
  <si>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Hidrobiológicos-Fecha de descarga</t>
    </r>
  </si>
  <si>
    <r>
      <rPr>
        <rFont val="calibri, Arial"/>
        <color rgb="FF000000"/>
      </rPr>
      <t xml:space="preserve">Detracciones: </t>
    </r>
    <r>
      <rPr>
        <rFont val="Calibri"/>
        <color rgb="FF000000"/>
        <sz val="10.0"/>
      </rPr>
      <t>Recursos Hidrobiológicos-Cantidad de especie vendida</t>
    </r>
  </si>
  <si>
    <t>3050</t>
  </si>
  <si>
    <t>Transportre Terreste - Número de asiento</t>
  </si>
  <si>
    <t>3051</t>
  </si>
  <si>
    <t>Transporte Terrestre - Información de manifiesto de pasajeros</t>
  </si>
  <si>
    <t>3052</t>
  </si>
  <si>
    <t>Transporte Terrestre - Número de documento de identidad del pasajero</t>
  </si>
  <si>
    <t>3053</t>
  </si>
  <si>
    <t>Transporte Terrestre - Tipo de documento de identidad del pasajero</t>
  </si>
  <si>
    <t>3054</t>
  </si>
  <si>
    <t>Transporte Terrestre - Nombres y apellidos del pasajero</t>
  </si>
  <si>
    <t>3055</t>
  </si>
  <si>
    <t>Transporte Terrestre - Ciudad o lugar de destino - Ubigeo</t>
  </si>
  <si>
    <t>3056</t>
  </si>
  <si>
    <t>Transporte Terrestre - Ciudad o lugar de destino - Dirección detallada</t>
  </si>
  <si>
    <t>3057</t>
  </si>
  <si>
    <t>Transporte Terrestre - Ciudad o lugar de origen - Ubigeo</t>
  </si>
  <si>
    <t>3058</t>
  </si>
  <si>
    <t>Transporte Terrestre - Ciudad o lugar de origen - Dirección detallada</t>
  </si>
  <si>
    <t>3059</t>
  </si>
  <si>
    <t>Transporte Terrestre - Fecha de inicio programado</t>
  </si>
  <si>
    <t>3060</t>
  </si>
  <si>
    <t>Transporte Terrestre - Hora de inicio programado</t>
  </si>
  <si>
    <t>Beneficio Hospedajes-Paquete turístico: Código de país de emisión del pasaporte</t>
  </si>
  <si>
    <t>Beneficio Hospedajes: Código de país de residencia del sujeto no domiciliado</t>
  </si>
  <si>
    <t>Beneficio Hospedajes: Fecha de ingreso al país</t>
  </si>
  <si>
    <t>Beneficio Hospedajes: Fecha de Ingreso al Establecimiento</t>
  </si>
  <si>
    <t>Beneficio Hospedajes: Fecha de Salida del Establecimiento</t>
  </si>
  <si>
    <t>Beneficio Hospedajes: Número de Días de Permanencia</t>
  </si>
  <si>
    <t xml:space="preserve">Beneficio Hospedajes: Fecha de Consumo </t>
  </si>
  <si>
    <t xml:space="preserve">Beneficio Hospedajes-Paquete turístico: Nombres y apellidos del huesped </t>
  </si>
  <si>
    <t xml:space="preserve">Beneficio Hospedajes-Paquete turístico: Tipo de documento de identidad del huesped </t>
  </si>
  <si>
    <t xml:space="preserve">Beneficio Hospedajes-Paquete turístico: Número de documento de identidad del huesped </t>
  </si>
  <si>
    <t>4030</t>
  </si>
  <si>
    <t>Carta Porte Aéreo:  Lugar de origen - Código de ubigeo</t>
  </si>
  <si>
    <t>4031</t>
  </si>
  <si>
    <t>Carta Porte Aéreo:  Lugar de origen - Dirección detallada</t>
  </si>
  <si>
    <t>4032</t>
  </si>
  <si>
    <t>Carta Porte Aéreo:  Lugar de destino - Código de ubigeo</t>
  </si>
  <si>
    <t>4033</t>
  </si>
  <si>
    <t>Carta Porte Aéreo:  Lugar de destino - Dirección detallada</t>
  </si>
  <si>
    <t>4040</t>
  </si>
  <si>
    <t>BVME transporte ferroviario: Pasajero - Apellidos y Nombres</t>
  </si>
  <si>
    <t>4041</t>
  </si>
  <si>
    <t>BVME transporte ferroviario: Pasajero - Tipo de documento de identidad</t>
  </si>
  <si>
    <t>4042</t>
  </si>
  <si>
    <t>BVME transporte ferroviario: Servicio transporte: Ciudad o lugar de origen - Código de ubigeo</t>
  </si>
  <si>
    <t>4043</t>
  </si>
  <si>
    <t>BVME transporte ferroviario: Servicio transporte: Ciudad o lugar de origen - Dirección detallada</t>
  </si>
  <si>
    <t>4044</t>
  </si>
  <si>
    <t>BVME transporte ferroviario: Servicio transporte: Ciudad o lugar de destino - Código de ubigeo</t>
  </si>
  <si>
    <t>4045</t>
  </si>
  <si>
    <t>BVME transporte ferroviario: Servicio transporte: Ciudad o lugar de destino - Dirección detallada</t>
  </si>
  <si>
    <t>4046</t>
  </si>
  <si>
    <t>BVME transporte ferroviario: Servicio transporte:Número de asiento</t>
  </si>
  <si>
    <t>4047</t>
  </si>
  <si>
    <t>BVME transporte ferroviario: Servicio transporte: Hora programada de inicio de viaje</t>
  </si>
  <si>
    <t>4048</t>
  </si>
  <si>
    <t>BVME transporte ferroviario: Servicio transporte: Fecha programada de inicio de viaje</t>
  </si>
  <si>
    <t>4049</t>
  </si>
  <si>
    <t>BVME transporte ferroviario: Pasajero - Número de documento de identidad</t>
  </si>
  <si>
    <t>4060</t>
  </si>
  <si>
    <t>Regalía Petrolera: Decreto Supremo de aprobación del contrato</t>
  </si>
  <si>
    <t>4061</t>
  </si>
  <si>
    <t>Regalía Petrolera: Area de contrato (Lote)</t>
  </si>
  <si>
    <t>4062</t>
  </si>
  <si>
    <t>Regalía Petrolera: Periodo de pago - Fecha de inicio</t>
  </si>
  <si>
    <t>4063</t>
  </si>
  <si>
    <t>Regalía Petrolera: Periodo de pago - Fecha de fin</t>
  </si>
  <si>
    <t>4064</t>
  </si>
  <si>
    <t>Regalía Petrolera: Fecha de Pago</t>
  </si>
  <si>
    <t>Proveedores Estado: Código de Unidad Ejecutora</t>
  </si>
  <si>
    <t>Proveedores Estado: N° de Proceso de Selección</t>
  </si>
  <si>
    <t>Proveedores Estado: N° de Contrato</t>
  </si>
  <si>
    <t>5010</t>
  </si>
  <si>
    <t>Numero de Placa</t>
  </si>
  <si>
    <t>5011</t>
  </si>
  <si>
    <t>Categoria</t>
  </si>
  <si>
    <t>5012</t>
  </si>
  <si>
    <t>Marca</t>
  </si>
  <si>
    <t>5013</t>
  </si>
  <si>
    <t>Modelo</t>
  </si>
  <si>
    <t>5014</t>
  </si>
  <si>
    <t>Color</t>
  </si>
  <si>
    <t>5015</t>
  </si>
  <si>
    <t>Motor</t>
  </si>
  <si>
    <t>5016</t>
  </si>
  <si>
    <t>Combustible</t>
  </si>
  <si>
    <t>5017</t>
  </si>
  <si>
    <t>Form. Rodante</t>
  </si>
  <si>
    <t>5018</t>
  </si>
  <si>
    <t>VIN</t>
  </si>
  <si>
    <t>5019</t>
  </si>
  <si>
    <t>Serie/Chasis</t>
  </si>
  <si>
    <t>5020</t>
  </si>
  <si>
    <t>Año fabricacion</t>
  </si>
  <si>
    <t>5021</t>
  </si>
  <si>
    <t>Año modelo</t>
  </si>
  <si>
    <t>5022</t>
  </si>
  <si>
    <t>Version</t>
  </si>
  <si>
    <t>5023</t>
  </si>
  <si>
    <t>Ejes</t>
  </si>
  <si>
    <t>5024</t>
  </si>
  <si>
    <t>Asientos</t>
  </si>
  <si>
    <t>5025</t>
  </si>
  <si>
    <t>Pasajeros</t>
  </si>
  <si>
    <t>5026</t>
  </si>
  <si>
    <t>Ruedas</t>
  </si>
  <si>
    <t>5027</t>
  </si>
  <si>
    <t>Carroceria</t>
  </si>
  <si>
    <t>5028</t>
  </si>
  <si>
    <t>Potencia</t>
  </si>
  <si>
    <t>5029</t>
  </si>
  <si>
    <t>Cilindros</t>
  </si>
  <si>
    <t>5030</t>
  </si>
  <si>
    <t>Ciliindrada</t>
  </si>
  <si>
    <t>5031</t>
  </si>
  <si>
    <t>Peso Bruto</t>
  </si>
  <si>
    <t>5032</t>
  </si>
  <si>
    <t>Peso Neto</t>
  </si>
  <si>
    <t>5033</t>
  </si>
  <si>
    <t>Carga Util</t>
  </si>
  <si>
    <t>5034</t>
  </si>
  <si>
    <t>Longitud</t>
  </si>
  <si>
    <t>5035</t>
  </si>
  <si>
    <t>Altura</t>
  </si>
  <si>
    <t>5036</t>
  </si>
  <si>
    <t>Ancho</t>
  </si>
  <si>
    <t>5060</t>
  </si>
  <si>
    <t>Gas Natural - Lectura Anterior</t>
  </si>
  <si>
    <t>5061</t>
  </si>
  <si>
    <t>Gas Natural - Lectura Actual</t>
  </si>
  <si>
    <t>5062</t>
  </si>
  <si>
    <t>Gas Natural - Volumen consumido a Condiciones de lectura</t>
  </si>
  <si>
    <t>5063</t>
  </si>
  <si>
    <t>Gas Natural - Factor de correccion del volumen</t>
  </si>
  <si>
    <t>5064</t>
  </si>
  <si>
    <t>Gas Natural - Volumen a condiciones Estandares</t>
  </si>
  <si>
    <t>5065</t>
  </si>
  <si>
    <t>Gas Natural - Volumen facturado</t>
  </si>
  <si>
    <t>5066</t>
  </si>
  <si>
    <t>Gas Natural - Poder Calorifico Superior Promedio del Gas</t>
  </si>
  <si>
    <t>Comercialización de Oro:  Código Unico Concesión Minera</t>
  </si>
  <si>
    <t>Comercialización de Oro:  N° declaración compromiso</t>
  </si>
  <si>
    <t>Comercialización de Oro:  N° Reg. Especial .Comerci. Oro</t>
  </si>
  <si>
    <t>Comercialización de Oro:  N° Resolución que autoriza Planta de Beneficio</t>
  </si>
  <si>
    <t>Comercialización de Oro: Ley Mineral (% concent. oro)</t>
  </si>
  <si>
    <t>7000</t>
  </si>
  <si>
    <t>Gastos Art. 37 Renta:  Número de Placa</t>
  </si>
  <si>
    <t>Empresas del sistema financiero y cooperativas de ahorro y crédito no autorizadas a captar recursos del público: Tipo de préstamo</t>
  </si>
  <si>
    <t>Empresas del sistema financiero y cooperativas de ahorro y crédito no autorizadas a captar recursos del público: Indicador de Primera Vivienda</t>
  </si>
  <si>
    <t>Empresas del sistema financiero y cooperativas de ahorro y crédito no autorizadas a captar recursos del público: Partida Registral</t>
  </si>
  <si>
    <t>7004</t>
  </si>
  <si>
    <t>Empresas del sistema financiero y cooperativas de ahorro y crédito no autorizadas a captar recursos del público: Número de contrato</t>
  </si>
  <si>
    <t>7005</t>
  </si>
  <si>
    <t>Empresas del sistema financiero y cooperativas de ahorro y crédito no autorizadas a captar recursos del público: Fecha de otorgamiento del crédito</t>
  </si>
  <si>
    <t>7006</t>
  </si>
  <si>
    <t>Empresas del sistema financiero y cooperativas de ahorro y crédito no autorizadas a captar recursos del público: Dirección del predio - Código de ubigeo</t>
  </si>
  <si>
    <t>7007</t>
  </si>
  <si>
    <t>Empresas del sistema financiero y cooperativas de ahorro y crédito no autorizadas a captar recursos del público: Dirección del predio - Dirección completa</t>
  </si>
  <si>
    <t>7008</t>
  </si>
  <si>
    <t>Empresas del sistema financiero y cooperativas de ahorro y crédito no autorizadas a captar recursos del público: Dirección del predio - Urbanización</t>
  </si>
  <si>
    <t>7009</t>
  </si>
  <si>
    <t>Empresas del sistema financiero y cooperativas de ahorro y crédito no autorizadas a captar recursos del público: Dirección del predio - Provincia</t>
  </si>
  <si>
    <t>7010</t>
  </si>
  <si>
    <t>Empresas del sistema financiero y cooperativas de ahorro y crédito no autorizadas a captar recursos del público: Dirección del predio - Distrito</t>
  </si>
  <si>
    <t>7011</t>
  </si>
  <si>
    <t>Empresas del sistema financiero y cooperativas de ahorro y crédito no autorizadas a captar recursos del público: Dirección del predio - Departamento</t>
  </si>
  <si>
    <t>7012</t>
  </si>
  <si>
    <t>Empresas del sistema financiero y cooperativas de ahorro y crédito no autorizadas a captar recursos del público: Monto del crédito otorgado (capital)</t>
  </si>
  <si>
    <t>7013</t>
  </si>
  <si>
    <t>Empresas del sistema de seguro: Número de póliza</t>
  </si>
  <si>
    <t>7014</t>
  </si>
  <si>
    <t>Empresas del sistema de seguro: Fecha de inicio/término de vigencia de cobertura</t>
  </si>
  <si>
    <t>7015</t>
  </si>
  <si>
    <t>Empresas del sistema de seguro: Tipo de seguro</t>
  </si>
  <si>
    <t>7016</t>
  </si>
  <si>
    <t>Empresas del sistema de seguro: Suma asegurada / alcance de cobertura o monto</t>
  </si>
  <si>
    <t>7017</t>
  </si>
  <si>
    <t>AFP: CUSPP</t>
  </si>
  <si>
    <t>7018</t>
  </si>
  <si>
    <t>AFP: Periodo</t>
  </si>
  <si>
    <t>7019</t>
  </si>
  <si>
    <t>AFP: Monto del interes moratorio</t>
  </si>
  <si>
    <t>7020</t>
  </si>
  <si>
    <t>Subpartida nacional</t>
  </si>
  <si>
    <t>7021</t>
  </si>
  <si>
    <t>Numero de declaracion aduanera (DAM)</t>
  </si>
  <si>
    <t>Código de tipo de servicio público</t>
  </si>
  <si>
    <t>Energía eléctrica</t>
  </si>
  <si>
    <t>Agua</t>
  </si>
  <si>
    <t>Cable</t>
  </si>
  <si>
    <t>Internet</t>
  </si>
  <si>
    <t>Otros servicios regulados por OSIPTEL</t>
  </si>
  <si>
    <t>Gas natural</t>
  </si>
  <si>
    <t>Telefonía</t>
  </si>
  <si>
    <t>Código de tipo de servicio públicos - telecomunicaciones</t>
  </si>
  <si>
    <t>Servicios Portadores</t>
  </si>
  <si>
    <t>Teleservicios o Servicios Finales</t>
  </si>
  <si>
    <t>Servicios de Difusión</t>
  </si>
  <si>
    <t>Servicios de valor añadido</t>
  </si>
  <si>
    <t>Código de tipo de medidor (recibo de luz)</t>
  </si>
  <si>
    <t>Trifásico</t>
  </si>
  <si>
    <t>Monofásico</t>
  </si>
  <si>
    <t>Medios de Pago</t>
  </si>
  <si>
    <t>Depósito en cuenta</t>
  </si>
  <si>
    <t>Giro</t>
  </si>
  <si>
    <t>Transferencia de fondos</t>
  </si>
  <si>
    <t>Orden de pago</t>
  </si>
  <si>
    <t>Tarjeta de débito</t>
  </si>
  <si>
    <t>006</t>
  </si>
  <si>
    <t xml:space="preserve">Tarjeta de crédito emitida en el país por una empresa del sistema financiero </t>
  </si>
  <si>
    <t>Cheques con la cláusula de "NO NEGOCIABLE", "INTRANSFERIBLES", "NO A LA ORDEN" u otra equivalente, a que se refiere el inciso g) del artículo 5° de la ley</t>
  </si>
  <si>
    <t>Efectivo, por operaciones en las que no existe obligación de utilizar medio de pago</t>
  </si>
  <si>
    <t>Efectivo, en los demás casos</t>
  </si>
  <si>
    <t xml:space="preserve">Medios de pago usados en comercio exterior </t>
  </si>
  <si>
    <t>Documentos emitidos por las EDPYMES y las cooperativas de ahorro y crédito no autorizadas a captar depósitos del público</t>
  </si>
  <si>
    <t>Tarjeta de crédito emitida en el país o en el exterior por una empresa no perteneciente al sistema financiero, cuyo objeto principal sea la emisión y administración de tarjetas de crédito</t>
  </si>
  <si>
    <t>Tarjetas de crédito emitidas en el exterior por empresas bancarias o financieras no domiciliadas</t>
  </si>
  <si>
    <t>101</t>
  </si>
  <si>
    <t>Transferencias – Comercio exterior</t>
  </si>
  <si>
    <t>102</t>
  </si>
  <si>
    <t>Cheques bancarios - Comercio exterior</t>
  </si>
  <si>
    <t>103</t>
  </si>
  <si>
    <t>Orden de pago simple - Comercio exterior</t>
  </si>
  <si>
    <t>104</t>
  </si>
  <si>
    <t>Orden de pago documentario - Comercio exterior</t>
  </si>
  <si>
    <t>105</t>
  </si>
  <si>
    <t>Remesa simple - Comercio exterior</t>
  </si>
  <si>
    <t>106</t>
  </si>
  <si>
    <t>Remesa documentaria - Comercio exterior</t>
  </si>
  <si>
    <t>107</t>
  </si>
  <si>
    <t>Carta de crédito simple - Comercio exterior</t>
  </si>
  <si>
    <t>108</t>
  </si>
  <si>
    <t>Carta de crédito documentario - Comercio exterior</t>
  </si>
  <si>
    <t>999</t>
  </si>
  <si>
    <t>Otros medios de pago</t>
  </si>
  <si>
    <t xml:space="preserve"> Código de tipo de dirección</t>
  </si>
  <si>
    <t>Punto de venta</t>
  </si>
  <si>
    <t>Producción</t>
  </si>
  <si>
    <t xml:space="preserve">Extracción </t>
  </si>
  <si>
    <t xml:space="preserve">Explotación </t>
  </si>
  <si>
    <t>ATRIBUTO</t>
  </si>
  <si>
    <t>VALOR</t>
  </si>
  <si>
    <t>DESCRIPCIÓN</t>
  </si>
  <si>
    <t>operacion</t>
  </si>
  <si>
    <t>"generar_comprobante"</t>
  </si>
  <si>
    <t>siempre debe ser "generar_comprobante"</t>
  </si>
  <si>
    <t>tipo_de_comprobante</t>
  </si>
  <si>
    <t>"1"</t>
  </si>
  <si>
    <t>1=Factura, 2=Boleta de Venta,3=Nota de Crédito, 4=Nota de Débito</t>
  </si>
  <si>
    <t>serie</t>
  </si>
  <si>
    <t>"FFF1"</t>
  </si>
  <si>
    <t>4 dígitos, empieza con "F" para facturas y notas vinculadas y con "B" para Boletas de Ventas y sus notas vinculadas.</t>
  </si>
  <si>
    <t>numero</t>
  </si>
  <si>
    <t>Número correlativo del documento, sin ceros a la izquierda.</t>
  </si>
  <si>
    <t>sunat_transaction</t>
  </si>
  <si>
    <t>La mayoría de veces se usa el 1, las demás son para tipos de operaciones muy especiales.</t>
  </si>
  <si>
    <t>cliente_tipo_de_documento</t>
  </si>
  <si>
    <t>"6"</t>
  </si>
  <si>
    <t>"6"=RUC, "1"= DNI, "-"=VARIOS, Etc.</t>
  </si>
  <si>
    <t>cliente_numero_de_documento</t>
  </si>
  <si>
    <t>"20600695771"</t>
  </si>
  <si>
    <t>Ejemplo: RUC del CLIENTE, número de DNI, Etc.</t>
  </si>
  <si>
    <t>cliente_denominacion</t>
  </si>
  <si>
    <t>"NUBEFACT SA"</t>
  </si>
  <si>
    <t>Razón o nombre completo del CLIENTE.</t>
  </si>
  <si>
    <t>cliente_direccion</t>
  </si>
  <si>
    <t>"AV. XXX DIRECCIÓN"</t>
  </si>
  <si>
    <t>Dirección completa</t>
  </si>
  <si>
    <t>cliente_email</t>
  </si>
  <si>
    <t>Dirección de email debe ser válido.</t>
  </si>
  <si>
    <t>cliente_email_1</t>
  </si>
  <si>
    <t>cliente_email_2</t>
  </si>
  <si>
    <t>fecha_de_emision</t>
  </si>
  <si>
    <t>"02-08-2021"</t>
  </si>
  <si>
    <t>Debe ser la fecha actual. Formato DD-MM-AAAA Ejemplo: 10-05-2017</t>
  </si>
  <si>
    <t>fecha_de_vencimiento</t>
  </si>
  <si>
    <t>Debe ser la fecha actual. Formato DD-MM-AAAA Ejemplo: 10-05-2018</t>
  </si>
  <si>
    <t>moneda</t>
  </si>
  <si>
    <t>De necesitar más monedas no dude en contactarse con nosotros:1 = SOLES", 2 = DÓLARES", 3 = EUROS"</t>
  </si>
  <si>
    <t>tipo_de_cambio</t>
  </si>
  <si>
    <t>Ejemplo: 3.421</t>
  </si>
  <si>
    <t>porcentaje_de_igv</t>
  </si>
  <si>
    <t>"18"</t>
  </si>
  <si>
    <t>Ejemplo: 18.00</t>
  </si>
  <si>
    <t>descuento_global</t>
  </si>
  <si>
    <t>total_descuento</t>
  </si>
  <si>
    <t>descuento_global + total de descuento de ITEMS</t>
  </si>
  <si>
    <t>total_anticipo</t>
  </si>
  <si>
    <t>total_gravada</t>
  </si>
  <si>
    <t>total_inafecta</t>
  </si>
  <si>
    <t>total_exonerada</t>
  </si>
  <si>
    <t>total_igv</t>
  </si>
  <si>
    <t>Total del IGV. Debe ser igual al IGV de lineas.</t>
  </si>
  <si>
    <t>total_gratuita</t>
  </si>
  <si>
    <t>total_otros_cargos</t>
  </si>
  <si>
    <t>total</t>
  </si>
  <si>
    <t>total_gravada + total_inafecta + total_exonerada + total_igv + total_otros_cargos</t>
  </si>
  <si>
    <t>percepcion_tipo</t>
  </si>
  <si>
    <t>1=PERCEPCIÓN VENTA INTERNA - TASA 2%, ETC.</t>
  </si>
  <si>
    <t>percepcion_base_imponible</t>
  </si>
  <si>
    <t>total_percepcion</t>
  </si>
  <si>
    <t>total_incluido_percepcion</t>
  </si>
  <si>
    <t>detraccion</t>
  </si>
  <si>
    <t>"false"</t>
  </si>
  <si>
    <t>"false" o "true"</t>
  </si>
  <si>
    <t>observaciones</t>
  </si>
  <si>
    <t>Texto de 0 hasta 1000 caracteres. Si se desea saltos de línea para la representación impresa o PDF usar &lt;br&gt;. Ejemplo: XXXXX &lt;br&gt; YYYYYY</t>
  </si>
  <si>
    <t>documento_que_se_modifica_tipo</t>
  </si>
  <si>
    <t>1 = FACTURAS ELECTRÓNICAS, 2 = BOLETAS DE VENTA ELECTRÓNICAS</t>
  </si>
  <si>
    <t>documento_que_se_modifica_serie</t>
  </si>
  <si>
    <t>SERIE de la FACTURA o BOLETA que se modifica (previamente comunicado)</t>
  </si>
  <si>
    <t>documento_que_se_modifica_numero</t>
  </si>
  <si>
    <t>NÚMERO de la FACTURA o BOLETA que se modifica (previamente comunicado)</t>
  </si>
  <si>
    <t>tipo_de_nota_de_credito</t>
  </si>
  <si>
    <t>1 = ANULACIÓN DE LA OPERACIÓN, 2 = ANULACIÓN POR ERROR EN EL RUC, ETC.</t>
  </si>
  <si>
    <t>tipo_de_nota_de_debito</t>
  </si>
  <si>
    <t>1 = INTERESES POR MORA, 2 = AUMENTO DE VALOR</t>
  </si>
  <si>
    <t>enviar_automaticamente_a_la_sunat</t>
  </si>
  <si>
    <t>enviar_automaticamente_al_cliente</t>
  </si>
  <si>
    <t>codigo_unico</t>
  </si>
  <si>
    <t>Usarlo sólo si deseas que controlemos la generación de documentos. Código único generado y asignado por tu sistema. Por ejemplo puede estar compuesto por el tipo de documento, serie y número correlativo.</t>
  </si>
  <si>
    <t>condiciones_de_pago</t>
  </si>
  <si>
    <t>Ejemplo: CRÉDITO 15 DÍAS</t>
  </si>
  <si>
    <t>medio_de_pago</t>
  </si>
  <si>
    <t>Ejemplo: TARJETA VISA OP: 232231</t>
  </si>
  <si>
    <t>placa_vehiculo</t>
  </si>
  <si>
    <t>ALF-321</t>
  </si>
  <si>
    <t>orden_compra_servicio</t>
  </si>
  <si>
    <t>Ejemplo: "21344"</t>
  </si>
  <si>
    <t>tabla_personalizada_codigo</t>
  </si>
  <si>
    <t>formato_de_pdf</t>
  </si>
  <si>
    <t>Formato de PDF que se desea generar para la representación, si se deja en blanco se genera el formato definido por defecto en NUBEFACT. Se puede elegir entre A4, A5 o TICKET.</t>
  </si>
  <si>
    <t>items</t>
  </si>
  <si>
    <t>[]</t>
  </si>
  <si>
    <t>Items anidados en un ARRAY para las lineas. Lineas abajo se indicas el detalle.</t>
  </si>
  <si>
    <t>guias</t>
  </si>
  <si>
    <t>Items anidados en un ARRAY para cada día asociado.</t>
  </si>
  <si>
    <t>ITEMS</t>
  </si>
  <si>
    <t>unidad_de_medida</t>
  </si>
  <si>
    <t>codigo</t>
  </si>
  <si>
    <t>descripcion</t>
  </si>
  <si>
    <t>cantidad</t>
  </si>
  <si>
    <t>valor_unitario</t>
  </si>
  <si>
    <t>precio_unitario</t>
  </si>
  <si>
    <t>descuento</t>
  </si>
  <si>
    <t>subtotal</t>
  </si>
  <si>
    <t>tipo_de_igv</t>
  </si>
  <si>
    <t>igv</t>
  </si>
  <si>
    <t>anticipo_regularizacion</t>
  </si>
  <si>
    <t>anticipo_documento_serie</t>
  </si>
  <si>
    <t>anticipo_documento_numero</t>
  </si>
  <si>
    <t>NIU</t>
  </si>
  <si>
    <t>P001</t>
  </si>
  <si>
    <t>DETALLE DEL PRODUCTO</t>
  </si>
  <si>
    <t>ZZ</t>
  </si>
  <si>
    <t>S001</t>
  </si>
  <si>
    <t>DETALLE DEL SERVICIO</t>
  </si>
  <si>
    <t>TOTALES DE ITEMS</t>
  </si>
  <si>
    <t>total_isc</t>
  </si>
  <si>
    <t>tipo_de_isc</t>
  </si>
  <si>
    <t>isc</t>
  </si>
  <si>
    <t>"4"</t>
  </si>
  <si>
    <t>"true"</t>
  </si>
  <si>
    <t>DETALLE DEL ANTICIPO</t>
  </si>
  <si>
    <t>DETALLE DE LA REGULARIZACION DE ANTICIPO</t>
  </si>
  <si>
    <t>DETALLE DEL PRIMER ANTICIPO</t>
  </si>
  <si>
    <t>FFF1</t>
  </si>
  <si>
    <t>GUIAS</t>
  </si>
  <si>
    <t>Tipo</t>
  </si>
  <si>
    <t>Serie y Numeracion</t>
  </si>
  <si>
    <t>0001-23</t>
  </si>
  <si>
    <t>"2"</t>
  </si>
  <si>
    <t>Ejemplo: 3.276</t>
  </si>
  <si>
    <t>"8"</t>
  </si>
  <si>
    <t>"0"</t>
  </si>
  <si>
    <t>"BUSINESS-ID"</t>
  </si>
  <si>
    <t>"FACEBOOK INC"</t>
  </si>
  <si>
    <t>"CALIFORNIA EEUU"</t>
  </si>
  <si>
    <t>\</t>
  </si>
  <si>
    <t>"04-05-2018"</t>
  </si>
  <si>
    <t>Sumatoria de "otros_cargos" de los items</t>
  </si>
  <si>
    <t>otros_cargos</t>
  </si>
  <si>
    <t>total_impuestos_bolsas</t>
  </si>
  <si>
    <t>impuesto_bolsas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</si>
</sst>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</font>
    <font>
      <b/>
      <name val="Calibri"/>
    </font>
    <font>
      <sz val="11.0"/>
      <name val="Calibri"/>
    </font>
    <font>
      <b/>
      <u/>
      <color rgb="FF1155CC"/>
      <name val="Arial"/>
    </font>
    <font/>
    <font>
      <name val="Calibri"/>
    </font>
    <font>
      <i/>
      <name val="Calibri"/>
    </font>
    <font>
      <u/>
      <color rgb="FF0000FF"/>
      <name val="Calibri"/>
    </font>
    <font>
      <u/>
      <sz val="11.0"/>
      <color rgb="FF0000FF"/>
      <name val="Calibri"/>
    </font>
    <font>
      <color rgb="FF000000"/>
      <name val="Calibri"/>
    </font>
    <font>
      <b/>
      <color rgb="FF000000"/>
      <name val="Calibri"/>
    </font>
    <font>
      <u/>
      <sz val="9.0"/>
      <color rgb="FF0000FF"/>
      <name val="Calibri"/>
    </font>
    <font>
      <b/>
      <color rgb="FFFFFFFF"/>
      <name val="Calibri"/>
    </font>
    <font>
      <b/>
      <color rgb="FF000000"/>
      <name val="Arial"/>
    </font>
    <font>
      <b/>
    </font>
    <font>
      <color rgb="FF000000"/>
      <name val="Arial"/>
    </font>
    <font>
      <color rgb="FF000000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8DB4E2"/>
        <bgColor rgb="FF8DB4E2"/>
      </patternFill>
    </fill>
    <fill>
      <patternFill patternType="solid">
        <fgColor rgb="FF8DB4E3"/>
        <bgColor rgb="FF8DB4E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1">
    <border/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0" fontId="4" numFmtId="0" xfId="0" applyBorder="1" applyFont="1"/>
    <xf borderId="3" fillId="2" fontId="2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0" fontId="4" numFmtId="0" xfId="0" applyBorder="1" applyFont="1"/>
    <xf borderId="3" fillId="3" fontId="1" numFmtId="0" xfId="0" applyAlignment="1" applyBorder="1" applyFill="1" applyFont="1">
      <alignment vertical="bottom"/>
    </xf>
    <xf quotePrefix="1"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3" fillId="3" fontId="1" numFmtId="0" xfId="0" applyAlignment="1" applyBorder="1" applyFont="1">
      <alignment horizontal="center" vertical="bottom"/>
    </xf>
    <xf borderId="3" fillId="3" fontId="1" numFmtId="0" xfId="0" applyAlignment="1" applyBorder="1" applyFont="1">
      <alignment horizontal="center" shrinkToFit="0" vertical="bottom" wrapText="1"/>
    </xf>
    <xf quotePrefix="1" borderId="3" fillId="0" fontId="5" numFmtId="0" xfId="0" applyAlignment="1" applyBorder="1" applyFont="1">
      <alignment horizontal="center" vertical="bottom"/>
    </xf>
    <xf quotePrefix="1"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quotePrefix="1" borderId="4" fillId="0" fontId="5" numFmtId="0" xfId="0" applyAlignment="1" applyBorder="1" applyFont="1">
      <alignment shrinkToFit="0" vertical="bottom" wrapText="1"/>
    </xf>
    <xf borderId="6" fillId="0" fontId="4" numFmtId="0" xfId="0" applyBorder="1" applyFont="1"/>
    <xf borderId="4" fillId="0" fontId="5" numFmtId="0" xfId="0" applyAlignment="1" applyBorder="1" applyFont="1">
      <alignment shrinkToFit="0" vertical="bottom" wrapText="1"/>
    </xf>
    <xf borderId="3" fillId="4" fontId="5" numFmtId="0" xfId="0" applyAlignment="1" applyBorder="1" applyFill="1" applyFont="1">
      <alignment horizontal="center" vertical="bottom"/>
    </xf>
    <xf borderId="3" fillId="4" fontId="5" numFmtId="0" xfId="0" applyAlignment="1" applyBorder="1" applyFont="1">
      <alignment shrinkToFit="0" vertical="bottom" wrapText="1"/>
    </xf>
    <xf borderId="3" fillId="0" fontId="5" numFmtId="2" xfId="0" applyAlignment="1" applyBorder="1" applyFont="1" applyNumberFormat="1">
      <alignment horizontal="center" vertical="bottom"/>
    </xf>
    <xf borderId="3" fillId="5" fontId="5" numFmtId="0" xfId="0" applyAlignment="1" applyBorder="1" applyFill="1" applyFont="1">
      <alignment horizontal="center" vertical="bottom"/>
    </xf>
    <xf borderId="3" fillId="5" fontId="5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center" vertical="bottom"/>
    </xf>
    <xf borderId="3" fillId="0" fontId="9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top"/>
    </xf>
    <xf quotePrefix="1" borderId="3" fillId="0" fontId="5" numFmtId="0" xfId="0" applyAlignment="1" applyBorder="1" applyFont="1">
      <alignment vertical="bottom"/>
    </xf>
    <xf borderId="3" fillId="0" fontId="9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vertical="top"/>
    </xf>
    <xf borderId="3" fillId="6" fontId="10" numFmtId="0" xfId="0" applyAlignment="1" applyBorder="1" applyFill="1" applyFont="1">
      <alignment vertical="bottom"/>
    </xf>
    <xf quotePrefix="1" borderId="3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6" fontId="10" numFmtId="0" xfId="0" applyAlignment="1" applyBorder="1" applyFont="1">
      <alignment horizontal="center" vertical="bottom"/>
    </xf>
    <xf borderId="3" fillId="6" fontId="10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vertical="bottom"/>
    </xf>
    <xf borderId="3" fillId="2" fontId="9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3" fillId="0" fontId="9" numFmtId="14" xfId="0" applyAlignment="1" applyBorder="1" applyFont="1" applyNumberFormat="1">
      <alignment horizontal="center" shrinkToFit="0" vertical="bottom" wrapText="1"/>
    </xf>
    <xf borderId="3" fillId="0" fontId="9" numFmtId="49" xfId="0" applyAlignment="1" applyBorder="1" applyFont="1" applyNumberFormat="1">
      <alignment horizontal="center" vertical="bottom"/>
    </xf>
    <xf borderId="3" fillId="0" fontId="9" numFmtId="0" xfId="0" applyAlignment="1" applyBorder="1" applyFont="1">
      <alignment vertical="bottom"/>
    </xf>
    <xf borderId="3" fillId="2" fontId="2" numFmtId="49" xfId="0" applyAlignment="1" applyBorder="1" applyFont="1" applyNumberFormat="1">
      <alignment vertical="bottom"/>
    </xf>
    <xf borderId="3" fillId="3" fontId="1" numFmtId="49" xfId="0" applyAlignment="1" applyBorder="1" applyFont="1" applyNumberFormat="1">
      <alignment vertical="bottom"/>
    </xf>
    <xf borderId="3" fillId="3" fontId="1" numFmtId="49" xfId="0" applyAlignment="1" applyBorder="1" applyFont="1" applyNumberFormat="1">
      <alignment horizontal="center" vertical="bottom"/>
    </xf>
    <xf borderId="4" fillId="0" fontId="11" numFmtId="0" xfId="0" applyAlignment="1" applyBorder="1" applyFont="1">
      <alignment horizontal="center" vertical="bottom"/>
    </xf>
    <xf borderId="3" fillId="0" fontId="2" numFmtId="49" xfId="0" applyAlignment="1" applyBorder="1" applyFont="1" applyNumberFormat="1">
      <alignment vertical="bottom"/>
    </xf>
    <xf borderId="3" fillId="2" fontId="5" numFmtId="0" xfId="0" applyAlignment="1" applyBorder="1" applyFont="1">
      <alignment vertical="bottom"/>
    </xf>
    <xf borderId="3" fillId="2" fontId="5" numFmtId="0" xfId="0" applyAlignment="1" applyBorder="1" applyFont="1">
      <alignment shrinkToFit="0" vertical="bottom" wrapText="1"/>
    </xf>
    <xf borderId="3" fillId="3" fontId="12" numFmtId="0" xfId="0" applyAlignment="1" applyBorder="1" applyFont="1">
      <alignment horizontal="center"/>
    </xf>
    <xf borderId="3" fillId="3" fontId="12" numFmtId="164" xfId="0" applyAlignment="1" applyBorder="1" applyFont="1" applyNumberFormat="1">
      <alignment horizontal="center" shrinkToFit="0" wrapText="1"/>
    </xf>
    <xf borderId="3" fillId="0" fontId="5" numFmtId="49" xfId="0" applyAlignment="1" applyBorder="1" applyFont="1" applyNumberFormat="1">
      <alignment horizontal="center" vertical="bottom"/>
    </xf>
    <xf borderId="3" fillId="2" fontId="5" numFmtId="49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shrinkToFit="0" vertical="bottom" wrapText="0"/>
    </xf>
    <xf borderId="3" fillId="4" fontId="5" numFmtId="49" xfId="0" applyAlignment="1" applyBorder="1" applyFont="1" applyNumberFormat="1">
      <alignment horizontal="center" vertical="bottom"/>
    </xf>
    <xf borderId="3" fillId="2" fontId="2" numFmtId="0" xfId="0" applyAlignment="1" applyBorder="1" applyFont="1">
      <alignment vertical="top"/>
    </xf>
    <xf borderId="3" fillId="0" fontId="5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vertical="bottom"/>
    </xf>
    <xf quotePrefix="1" borderId="3" fillId="0" fontId="5" numFmtId="49" xfId="0" applyAlignment="1" applyBorder="1" applyFont="1" applyNumberFormat="1">
      <alignment horizontal="center" vertical="bottom"/>
    </xf>
    <xf borderId="3" fillId="7" fontId="10" numFmtId="49" xfId="0" applyAlignment="1" applyBorder="1" applyFill="1" applyFont="1" applyNumberFormat="1">
      <alignment horizontal="center" vertical="bottom"/>
    </xf>
    <xf borderId="3" fillId="7" fontId="10" numFmtId="0" xfId="0" applyAlignment="1" applyBorder="1" applyFont="1">
      <alignment horizontal="center" vertical="bottom"/>
    </xf>
    <xf quotePrefix="1" borderId="3" fillId="0" fontId="9" numFmtId="49" xfId="0" applyAlignment="1" applyBorder="1" applyFont="1" applyNumberFormat="1">
      <alignment horizontal="center" vertical="bottom"/>
    </xf>
    <xf borderId="3" fillId="0" fontId="9" numFmtId="0" xfId="0" applyAlignment="1" applyBorder="1" applyFont="1">
      <alignment shrinkToFit="0" vertical="bottom" wrapText="0"/>
    </xf>
    <xf borderId="3" fillId="2" fontId="9" numFmtId="0" xfId="0" applyAlignment="1" applyBorder="1" applyFont="1">
      <alignment vertical="bottom"/>
    </xf>
    <xf borderId="3" fillId="0" fontId="9" numFmtId="0" xfId="0" applyAlignment="1" applyBorder="1" applyFont="1">
      <alignment horizontal="center"/>
    </xf>
    <xf borderId="3" fillId="0" fontId="9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3" fillId="4" fontId="5" numFmtId="0" xfId="0" applyAlignment="1" applyBorder="1" applyFont="1">
      <alignment vertical="bottom"/>
    </xf>
    <xf borderId="7" fillId="0" fontId="4" numFmtId="0" xfId="0" applyAlignment="1" applyBorder="1" applyFont="1">
      <alignment horizontal="right" readingOrder="0"/>
    </xf>
    <xf borderId="7" fillId="0" fontId="13" numFmtId="0" xfId="0" applyAlignment="1" applyBorder="1" applyFont="1">
      <alignment horizontal="right" readingOrder="0"/>
    </xf>
    <xf borderId="8" fillId="0" fontId="14" numFmtId="0" xfId="0" applyAlignment="1" applyBorder="1" applyFont="1">
      <alignment readingOrder="0"/>
    </xf>
    <xf borderId="9" fillId="0" fontId="14" numFmtId="0" xfId="0" applyAlignment="1" applyBorder="1" applyFont="1">
      <alignment readingOrder="0"/>
    </xf>
    <xf borderId="9" fillId="0" fontId="4" numFmtId="0" xfId="0" applyBorder="1" applyFont="1"/>
    <xf borderId="7" fillId="0" fontId="15" numFmtId="0" xfId="0" applyAlignment="1" applyBorder="1" applyFont="1">
      <alignment horizontal="left" readingOrder="0"/>
    </xf>
    <xf borderId="8" fillId="0" fontId="4" numFmtId="0" xfId="0" applyAlignment="1" applyBorder="1" applyFont="1">
      <alignment readingOrder="0"/>
    </xf>
    <xf borderId="10" fillId="0" fontId="4" numFmtId="0" xfId="0" applyBorder="1" applyFont="1"/>
    <xf borderId="7" fillId="0" fontId="4" numFmtId="0" xfId="0" applyAlignment="1" applyBorder="1" applyFont="1">
      <alignment readingOrder="0"/>
    </xf>
    <xf borderId="7" fillId="0" fontId="4" numFmtId="0" xfId="0" applyBorder="1" applyFont="1"/>
    <xf borderId="7" fillId="8" fontId="4" numFmtId="0" xfId="0" applyAlignment="1" applyBorder="1" applyFill="1" applyFont="1">
      <alignment horizontal="right" readingOrder="0"/>
    </xf>
    <xf borderId="7" fillId="8" fontId="4" numFmtId="0" xfId="0" applyBorder="1" applyFont="1"/>
    <xf borderId="8" fillId="8" fontId="4" numFmtId="0" xfId="0" applyAlignment="1" applyBorder="1" applyFont="1">
      <alignment readingOrder="0"/>
    </xf>
    <xf borderId="7" fillId="8" fontId="4" numFmtId="0" xfId="0" applyAlignment="1" applyBorder="1" applyFont="1">
      <alignment readingOrder="0"/>
    </xf>
    <xf borderId="7" fillId="2" fontId="15" numFmtId="0" xfId="0" applyAlignment="1" applyBorder="1" applyFont="1">
      <alignment horizontal="left" readingOrder="0"/>
    </xf>
    <xf borderId="7" fillId="8" fontId="4" numFmtId="0" xfId="0" applyAlignment="1" applyBorder="1" applyFont="1">
      <alignment horizontal="right" readingOrder="0" shrinkToFit="0" vertical="center" wrapText="1"/>
    </xf>
    <xf borderId="7" fillId="8" fontId="4" numFmtId="0" xfId="0" applyAlignment="1" applyBorder="1" applyFont="1">
      <alignment horizontal="left" readingOrder="0" shrinkToFit="0" vertical="center" wrapText="1"/>
    </xf>
    <xf borderId="8" fillId="8" fontId="14" numFmtId="0" xfId="0" applyAlignment="1" applyBorder="1" applyFont="1">
      <alignment horizontal="right" readingOrder="0"/>
    </xf>
    <xf borderId="7" fillId="8" fontId="14" numFmtId="0" xfId="0" applyBorder="1" applyFont="1"/>
    <xf borderId="7" fillId="0" fontId="4" numFmtId="0" xfId="0" applyAlignment="1" applyBorder="1" applyFont="1">
      <alignment horizontal="right"/>
    </xf>
    <xf borderId="7" fillId="8" fontId="4" numFmtId="4" xfId="0" applyAlignment="1" applyBorder="1" applyFont="1" applyNumberFormat="1">
      <alignment readingOrder="0"/>
    </xf>
    <xf borderId="7" fillId="2" fontId="4" numFmtId="0" xfId="0" applyAlignment="1" applyBorder="1" applyFont="1">
      <alignment horizontal="left" readingOrder="0"/>
    </xf>
    <xf borderId="7" fillId="8" fontId="4" numFmtId="0" xfId="0" applyAlignment="1" applyBorder="1" applyFont="1">
      <alignment horizontal="left" readingOrder="0"/>
    </xf>
    <xf borderId="7" fillId="8" fontId="4" numFmtId="0" xfId="0" applyAlignment="1" applyBorder="1" applyFont="1">
      <alignment horizontal="right"/>
    </xf>
    <xf borderId="7" fillId="8" fontId="14" numFmtId="0" xfId="0" applyAlignment="1" applyBorder="1" applyFont="1">
      <alignment horizontal="right"/>
    </xf>
    <xf borderId="7" fillId="0" fontId="4" numFmtId="0" xfId="0" applyAlignment="1" applyBorder="1" applyFont="1">
      <alignment horizontal="left" readingOrder="0"/>
    </xf>
    <xf borderId="7" fillId="8" fontId="14" numFmtId="0" xfId="0" applyAlignment="1" applyBorder="1" applyFont="1">
      <alignment readingOrder="0"/>
    </xf>
    <xf borderId="7" fillId="8" fontId="16" numFmtId="0" xfId="0" applyAlignment="1" applyBorder="1" applyFont="1">
      <alignment readingOrder="0"/>
    </xf>
    <xf borderId="8" fillId="8" fontId="4" numFmtId="0" xfId="0" applyAlignment="1" applyBorder="1" applyFont="1">
      <alignment horizontal="left" readingOrder="0"/>
    </xf>
    <xf borderId="8" fillId="8" fontId="4" numFmtId="49" xfId="0" applyAlignment="1" applyBorder="1" applyFont="1" applyNumberFormat="1">
      <alignment horizontal="left" readingOrder="0"/>
    </xf>
    <xf borderId="0" fillId="2" fontId="15" numFmtId="0" xfId="0" applyAlignment="1" applyFont="1">
      <alignment horizontal="left" readingOrder="0"/>
    </xf>
    <xf borderId="7" fillId="9" fontId="4" numFmtId="0" xfId="0" applyAlignment="1" applyBorder="1" applyFill="1" applyFont="1">
      <alignment horizontal="right" readingOrder="0"/>
    </xf>
    <xf borderId="7" fillId="9" fontId="4" numFmtId="0" xfId="0" applyAlignment="1" applyBorder="1" applyFont="1">
      <alignment readingOrder="0"/>
    </xf>
    <xf borderId="8" fillId="9" fontId="4" numFmtId="0" xfId="0" applyAlignment="1" applyBorder="1" applyFont="1">
      <alignment readingOrder="0"/>
    </xf>
    <xf borderId="7" fillId="9" fontId="4" numFmtId="0" xfId="0" applyAlignment="1" applyBorder="1" applyFont="1">
      <alignment horizontal="left" readingOrder="0" shrinkToFit="0" vertical="center" wrapText="1"/>
    </xf>
    <xf borderId="7" fillId="9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0RszuLGOAxe0Lh1dLCQzuzJPpVeLZN4/view" TargetMode="External"/><Relationship Id="rId2" Type="http://schemas.openxmlformats.org/officeDocument/2006/relationships/hyperlink" Target="http://www.iso.org/iso/home/standards/currency_codes.htm" TargetMode="External"/><Relationship Id="rId3" Type="http://schemas.openxmlformats.org/officeDocument/2006/relationships/hyperlink" Target="http://www.chemie.fu-berlin.de/diverse/doc/ISO_3166.html" TargetMode="External"/><Relationship Id="rId4" Type="http://schemas.openxmlformats.org/officeDocument/2006/relationships/hyperlink" Target="http://webinei.inei.gob.pe:8080/sisconcode/proyecto/index.htm?proyectoTitulo=UBIGEO&amp;proyectoId=3" TargetMode="External"/><Relationship Id="rId5" Type="http://schemas.openxmlformats.org/officeDocument/2006/relationships/hyperlink" Target="https://www.unspsc.org/codeset-downloads/productid/28/createdbyuser/3?txtsearch=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86"/>
    <col customWidth="1" min="2" max="2" width="73.0"/>
    <col customWidth="1" min="3" max="3" width="26.14"/>
    <col customWidth="1" min="4" max="4" width="22.43"/>
  </cols>
  <sheetData>
    <row r="1">
      <c r="A1" s="1"/>
      <c r="B1" s="1"/>
      <c r="C1" s="2"/>
      <c r="D1" s="2"/>
    </row>
    <row r="2">
      <c r="A2" s="1"/>
      <c r="B2" s="3" t="s">
        <v>0</v>
      </c>
      <c r="C2" s="2"/>
      <c r="D2" s="2"/>
    </row>
    <row r="3">
      <c r="A3" s="1"/>
      <c r="B3" s="1"/>
      <c r="C3" s="2"/>
      <c r="D3" s="2"/>
    </row>
    <row r="4">
      <c r="A4" s="1"/>
      <c r="B4" s="1"/>
      <c r="C4" s="2"/>
      <c r="D4" s="2"/>
    </row>
    <row r="5">
      <c r="A5" s="4" t="s">
        <v>1</v>
      </c>
      <c r="B5" s="5"/>
      <c r="C5" s="6"/>
      <c r="D5" s="6"/>
    </row>
    <row r="6">
      <c r="A6" s="7" t="s">
        <v>2</v>
      </c>
      <c r="B6" s="8"/>
      <c r="C6" s="6"/>
      <c r="D6" s="6"/>
    </row>
    <row r="7">
      <c r="A7" s="6"/>
      <c r="B7" s="6"/>
      <c r="C7" s="6"/>
      <c r="D7" s="6"/>
    </row>
    <row r="8">
      <c r="A8" s="9" t="s">
        <v>3</v>
      </c>
      <c r="B8" s="10" t="s">
        <v>4</v>
      </c>
      <c r="C8" s="6"/>
      <c r="D8" s="6"/>
    </row>
    <row r="9">
      <c r="A9" s="9" t="s">
        <v>5</v>
      </c>
      <c r="B9" s="11" t="s">
        <v>6</v>
      </c>
      <c r="C9" s="6"/>
      <c r="D9" s="6"/>
    </row>
    <row r="10">
      <c r="A10" s="12" t="s">
        <v>7</v>
      </c>
      <c r="B10" s="13" t="s">
        <v>8</v>
      </c>
      <c r="C10" s="6"/>
      <c r="D10" s="6"/>
    </row>
    <row r="11">
      <c r="A11" s="14" t="s">
        <v>4</v>
      </c>
      <c r="B11" s="11" t="s">
        <v>9</v>
      </c>
      <c r="C11" s="6"/>
      <c r="D11" s="6"/>
    </row>
    <row r="12">
      <c r="A12" s="14" t="s">
        <v>10</v>
      </c>
      <c r="B12" s="11" t="s">
        <v>11</v>
      </c>
      <c r="C12" s="6"/>
      <c r="D12" s="6"/>
    </row>
    <row r="13">
      <c r="A13" s="14" t="s">
        <v>12</v>
      </c>
      <c r="B13" s="11" t="s">
        <v>13</v>
      </c>
      <c r="C13" s="6"/>
      <c r="D13" s="6"/>
    </row>
    <row r="14">
      <c r="A14" s="15" t="s">
        <v>14</v>
      </c>
      <c r="B14" s="16" t="s">
        <v>15</v>
      </c>
      <c r="C14" s="6"/>
      <c r="D14" s="6"/>
    </row>
    <row r="15">
      <c r="A15" s="14" t="s">
        <v>16</v>
      </c>
      <c r="B15" s="11" t="s">
        <v>17</v>
      </c>
      <c r="C15" s="6"/>
      <c r="D15" s="6"/>
    </row>
    <row r="16">
      <c r="A16" s="14" t="s">
        <v>18</v>
      </c>
      <c r="B16" s="11" t="s">
        <v>19</v>
      </c>
      <c r="C16" s="6"/>
      <c r="D16" s="6"/>
    </row>
    <row r="17">
      <c r="A17" s="14" t="s">
        <v>20</v>
      </c>
      <c r="B17" s="11" t="s">
        <v>21</v>
      </c>
      <c r="C17" s="6"/>
      <c r="D17" s="6"/>
    </row>
    <row r="18">
      <c r="A18" s="14" t="s">
        <v>22</v>
      </c>
      <c r="B18" s="11" t="s">
        <v>23</v>
      </c>
      <c r="C18" s="6"/>
      <c r="D18" s="6"/>
    </row>
    <row r="19">
      <c r="A19" s="17">
        <v>11.0</v>
      </c>
      <c r="B19" s="11" t="s">
        <v>24</v>
      </c>
      <c r="C19" s="6"/>
      <c r="D19" s="6"/>
    </row>
    <row r="20">
      <c r="A20" s="14" t="s">
        <v>25</v>
      </c>
      <c r="B20" s="11" t="s">
        <v>26</v>
      </c>
      <c r="C20" s="6"/>
      <c r="D20" s="6"/>
    </row>
    <row r="21">
      <c r="A21" s="15" t="s">
        <v>27</v>
      </c>
      <c r="B21" s="11" t="s">
        <v>28</v>
      </c>
      <c r="C21" s="6"/>
      <c r="D21" s="6"/>
    </row>
    <row r="22">
      <c r="A22" s="17">
        <v>14.0</v>
      </c>
      <c r="B22" s="11" t="s">
        <v>29</v>
      </c>
      <c r="C22" s="6"/>
      <c r="D22" s="6"/>
    </row>
    <row r="23">
      <c r="A23" s="18">
        <v>15.0</v>
      </c>
      <c r="B23" s="11" t="s">
        <v>30</v>
      </c>
      <c r="C23" s="6"/>
      <c r="D23" s="6"/>
    </row>
    <row r="24">
      <c r="A24" s="17">
        <v>16.0</v>
      </c>
      <c r="B24" s="11" t="s">
        <v>31</v>
      </c>
      <c r="C24" s="6"/>
      <c r="D24" s="6"/>
    </row>
    <row r="25">
      <c r="A25" s="14" t="s">
        <v>32</v>
      </c>
      <c r="B25" s="11" t="s">
        <v>33</v>
      </c>
      <c r="C25" s="6"/>
      <c r="D25" s="6"/>
    </row>
    <row r="26">
      <c r="A26" s="17">
        <v>19.0</v>
      </c>
      <c r="B26" s="11" t="s">
        <v>34</v>
      </c>
      <c r="C26" s="6"/>
      <c r="D26" s="6"/>
    </row>
    <row r="27">
      <c r="A27" s="14" t="s">
        <v>35</v>
      </c>
      <c r="B27" s="11" t="s">
        <v>36</v>
      </c>
      <c r="C27" s="6"/>
      <c r="D27" s="6"/>
    </row>
    <row r="28">
      <c r="A28" s="17">
        <v>21.0</v>
      </c>
      <c r="B28" s="11" t="s">
        <v>37</v>
      </c>
      <c r="C28" s="6"/>
      <c r="D28" s="6"/>
    </row>
    <row r="29">
      <c r="A29" s="17">
        <v>23.0</v>
      </c>
      <c r="B29" s="11" t="s">
        <v>38</v>
      </c>
      <c r="C29" s="6"/>
      <c r="D29" s="6"/>
    </row>
    <row r="30">
      <c r="A30" s="17">
        <v>24.0</v>
      </c>
      <c r="B30" s="11" t="s">
        <v>39</v>
      </c>
      <c r="C30" s="6"/>
      <c r="D30" s="6"/>
    </row>
    <row r="31">
      <c r="A31" s="17">
        <v>28.0</v>
      </c>
      <c r="B31" s="11" t="s">
        <v>40</v>
      </c>
      <c r="C31" s="6"/>
      <c r="D31" s="6"/>
    </row>
    <row r="32">
      <c r="A32" s="17">
        <v>29.0</v>
      </c>
      <c r="B32" s="11" t="s">
        <v>41</v>
      </c>
      <c r="C32" s="6"/>
      <c r="D32" s="6"/>
    </row>
    <row r="33">
      <c r="A33" s="15" t="s">
        <v>42</v>
      </c>
      <c r="B33" s="11" t="s">
        <v>43</v>
      </c>
      <c r="C33" s="6"/>
      <c r="D33" s="6"/>
    </row>
    <row r="34">
      <c r="A34" s="14" t="s">
        <v>44</v>
      </c>
      <c r="B34" s="11" t="s">
        <v>45</v>
      </c>
      <c r="C34" s="6"/>
      <c r="D34" s="6"/>
    </row>
    <row r="35">
      <c r="A35" s="17">
        <v>32.0</v>
      </c>
      <c r="B35" s="11" t="s">
        <v>46</v>
      </c>
      <c r="C35" s="6"/>
      <c r="D35" s="6"/>
    </row>
    <row r="36">
      <c r="A36" s="17">
        <v>34.0</v>
      </c>
      <c r="B36" s="11" t="s">
        <v>47</v>
      </c>
      <c r="C36" s="6"/>
      <c r="D36" s="6"/>
    </row>
    <row r="37">
      <c r="A37" s="17">
        <v>35.0</v>
      </c>
      <c r="B37" s="11" t="s">
        <v>48</v>
      </c>
      <c r="C37" s="6"/>
      <c r="D37" s="6"/>
    </row>
    <row r="38">
      <c r="A38" s="17">
        <v>36.0</v>
      </c>
      <c r="B38" s="11" t="s">
        <v>49</v>
      </c>
      <c r="C38" s="6"/>
      <c r="D38" s="6"/>
    </row>
    <row r="39">
      <c r="A39" s="17">
        <v>37.0</v>
      </c>
      <c r="B39" s="11" t="s">
        <v>50</v>
      </c>
      <c r="C39" s="6"/>
      <c r="D39" s="6"/>
    </row>
    <row r="40">
      <c r="A40" s="14" t="s">
        <v>51</v>
      </c>
      <c r="B40" s="11" t="s">
        <v>52</v>
      </c>
      <c r="C40" s="6"/>
      <c r="D40" s="6"/>
    </row>
    <row r="41">
      <c r="A41" s="14" t="s">
        <v>53</v>
      </c>
      <c r="B41" s="11" t="s">
        <v>54</v>
      </c>
      <c r="C41" s="6"/>
      <c r="D41" s="6"/>
    </row>
    <row r="42">
      <c r="A42" s="18">
        <v>42.0</v>
      </c>
      <c r="B42" s="11" t="s">
        <v>55</v>
      </c>
      <c r="C42" s="6"/>
      <c r="D42" s="6"/>
    </row>
    <row r="43">
      <c r="A43" s="17">
        <v>43.0</v>
      </c>
      <c r="B43" s="11" t="s">
        <v>56</v>
      </c>
      <c r="C43" s="6"/>
      <c r="D43" s="6"/>
    </row>
    <row r="44">
      <c r="A44" s="18">
        <v>45.0</v>
      </c>
      <c r="B44" s="11" t="s">
        <v>57</v>
      </c>
      <c r="C44" s="6"/>
      <c r="D44" s="6"/>
    </row>
    <row r="45">
      <c r="A45" s="18">
        <v>55.0</v>
      </c>
      <c r="B45" s="11" t="s">
        <v>58</v>
      </c>
      <c r="C45" s="6"/>
      <c r="D45" s="6"/>
    </row>
    <row r="46">
      <c r="A46" s="14" t="s">
        <v>59</v>
      </c>
      <c r="B46" s="11" t="s">
        <v>60</v>
      </c>
      <c r="C46" s="6"/>
      <c r="D46" s="6"/>
    </row>
    <row r="47">
      <c r="A47" s="14" t="s">
        <v>61</v>
      </c>
      <c r="B47" s="11" t="s">
        <v>62</v>
      </c>
      <c r="C47" s="6"/>
      <c r="D47" s="6"/>
    </row>
    <row r="48">
      <c r="A48" s="14" t="s">
        <v>63</v>
      </c>
      <c r="B48" s="11" t="s">
        <v>64</v>
      </c>
      <c r="C48" s="6"/>
      <c r="D48" s="6"/>
    </row>
    <row r="49">
      <c r="A49" s="17">
        <v>87.0</v>
      </c>
      <c r="B49" s="11" t="s">
        <v>65</v>
      </c>
      <c r="C49" s="6"/>
      <c r="D49" s="6"/>
    </row>
    <row r="50">
      <c r="A50" s="17">
        <v>88.0</v>
      </c>
      <c r="B50" s="11" t="s">
        <v>66</v>
      </c>
      <c r="C50" s="6"/>
      <c r="D50" s="6"/>
    </row>
    <row r="51">
      <c r="A51" s="19"/>
      <c r="B51" s="20"/>
      <c r="C51" s="6"/>
      <c r="D51" s="6"/>
    </row>
    <row r="52">
      <c r="A52" s="20"/>
      <c r="B52" s="20"/>
      <c r="C52" s="6"/>
      <c r="D52" s="6"/>
    </row>
    <row r="53">
      <c r="A53" s="6"/>
      <c r="B53" s="6"/>
      <c r="C53" s="6"/>
      <c r="D53" s="6"/>
    </row>
    <row r="54">
      <c r="A54" s="9" t="s">
        <v>3</v>
      </c>
      <c r="B54" s="10" t="s">
        <v>67</v>
      </c>
      <c r="C54" s="6"/>
      <c r="D54" s="6"/>
    </row>
    <row r="55">
      <c r="A55" s="9" t="s">
        <v>5</v>
      </c>
      <c r="B55" s="11" t="s">
        <v>68</v>
      </c>
      <c r="C55" s="6"/>
      <c r="D55" s="6"/>
    </row>
    <row r="56">
      <c r="A56" s="12" t="s">
        <v>7</v>
      </c>
      <c r="B56" s="13" t="s">
        <v>8</v>
      </c>
      <c r="C56" s="6"/>
      <c r="D56" s="6"/>
    </row>
    <row r="57">
      <c r="A57" s="21" t="s">
        <v>69</v>
      </c>
      <c r="B57" s="8"/>
      <c r="C57" s="6"/>
      <c r="D57" s="6"/>
    </row>
    <row r="58">
      <c r="A58" s="22" t="s">
        <v>70</v>
      </c>
      <c r="B58" s="8"/>
      <c r="C58" s="6"/>
      <c r="D58" s="6"/>
    </row>
    <row r="59">
      <c r="A59" s="6"/>
      <c r="B59" s="6"/>
      <c r="C59" s="6"/>
      <c r="D59" s="6"/>
    </row>
    <row r="60">
      <c r="A60" s="9" t="s">
        <v>3</v>
      </c>
      <c r="B60" s="10" t="s">
        <v>10</v>
      </c>
      <c r="C60" s="6"/>
      <c r="D60" s="6"/>
    </row>
    <row r="61">
      <c r="A61" s="9" t="s">
        <v>5</v>
      </c>
      <c r="B61" s="11" t="s">
        <v>71</v>
      </c>
      <c r="C61" s="6"/>
      <c r="D61" s="6"/>
    </row>
    <row r="62">
      <c r="A62" s="12" t="s">
        <v>7</v>
      </c>
      <c r="B62" s="13" t="s">
        <v>8</v>
      </c>
      <c r="C62" s="6"/>
      <c r="D62" s="6"/>
    </row>
    <row r="63">
      <c r="A63" s="21" t="s">
        <v>72</v>
      </c>
      <c r="B63" s="8"/>
      <c r="C63" s="6"/>
      <c r="D63" s="6"/>
    </row>
    <row r="64">
      <c r="A64" s="23" t="s">
        <v>73</v>
      </c>
      <c r="B64" s="8"/>
      <c r="C64" s="6"/>
      <c r="D64" s="6"/>
    </row>
    <row r="65">
      <c r="A65" s="6"/>
      <c r="B65" s="6"/>
      <c r="C65" s="6"/>
      <c r="D65" s="6"/>
    </row>
    <row r="66">
      <c r="A66" s="9" t="s">
        <v>3</v>
      </c>
      <c r="B66" s="10" t="s">
        <v>12</v>
      </c>
      <c r="C66" s="6"/>
      <c r="D66" s="6"/>
    </row>
    <row r="67">
      <c r="A67" s="9" t="s">
        <v>5</v>
      </c>
      <c r="B67" s="11" t="s">
        <v>74</v>
      </c>
      <c r="C67" s="6"/>
      <c r="D67" s="6"/>
    </row>
    <row r="68">
      <c r="A68" s="12" t="s">
        <v>7</v>
      </c>
      <c r="B68" s="13" t="s">
        <v>8</v>
      </c>
      <c r="C68" s="6"/>
      <c r="D68" s="6"/>
    </row>
    <row r="69">
      <c r="A69" s="21" t="s">
        <v>75</v>
      </c>
      <c r="B69" s="8"/>
      <c r="C69" s="6"/>
      <c r="D69" s="6"/>
    </row>
    <row r="70">
      <c r="A70" s="22" t="s">
        <v>76</v>
      </c>
      <c r="B70" s="8"/>
      <c r="C70" s="6"/>
      <c r="D70" s="6"/>
    </row>
    <row r="71">
      <c r="A71" s="6"/>
      <c r="B71" s="6"/>
      <c r="C71" s="6"/>
      <c r="D71" s="6"/>
    </row>
    <row r="72">
      <c r="A72" s="9" t="s">
        <v>3</v>
      </c>
      <c r="B72" s="24" t="s">
        <v>14</v>
      </c>
      <c r="C72" s="25"/>
      <c r="D72" s="8"/>
    </row>
    <row r="73">
      <c r="A73" s="9" t="s">
        <v>5</v>
      </c>
      <c r="B73" s="26" t="s">
        <v>77</v>
      </c>
      <c r="C73" s="25"/>
      <c r="D73" s="8"/>
    </row>
    <row r="74">
      <c r="A74" s="12" t="s">
        <v>7</v>
      </c>
      <c r="B74" s="13" t="s">
        <v>8</v>
      </c>
      <c r="C74" s="13" t="s">
        <v>78</v>
      </c>
      <c r="D74" s="12" t="s">
        <v>79</v>
      </c>
    </row>
    <row r="75">
      <c r="A75" s="14" t="s">
        <v>80</v>
      </c>
      <c r="B75" s="11" t="s">
        <v>81</v>
      </c>
      <c r="C75" s="17" t="s">
        <v>82</v>
      </c>
      <c r="D75" s="17" t="s">
        <v>83</v>
      </c>
    </row>
    <row r="76">
      <c r="A76" s="17">
        <v>1016.0</v>
      </c>
      <c r="B76" s="11" t="s">
        <v>84</v>
      </c>
      <c r="C76" s="17" t="s">
        <v>82</v>
      </c>
      <c r="D76" s="17" t="s">
        <v>85</v>
      </c>
    </row>
    <row r="77">
      <c r="A77" s="14" t="s">
        <v>86</v>
      </c>
      <c r="B77" s="11" t="s">
        <v>87</v>
      </c>
      <c r="C77" s="17" t="s">
        <v>88</v>
      </c>
      <c r="D77" s="17" t="s">
        <v>89</v>
      </c>
    </row>
    <row r="78">
      <c r="A78" s="17">
        <v>3000.0</v>
      </c>
      <c r="B78" s="11" t="s">
        <v>90</v>
      </c>
      <c r="C78" s="17" t="s">
        <v>91</v>
      </c>
      <c r="D78" s="17" t="s">
        <v>92</v>
      </c>
    </row>
    <row r="79">
      <c r="A79" s="17">
        <v>7152.0</v>
      </c>
      <c r="B79" s="11" t="s">
        <v>93</v>
      </c>
      <c r="C79" s="17" t="s">
        <v>94</v>
      </c>
      <c r="D79" s="17" t="s">
        <v>95</v>
      </c>
    </row>
    <row r="80">
      <c r="A80" s="17">
        <v>9995.0</v>
      </c>
      <c r="B80" s="11" t="s">
        <v>96</v>
      </c>
      <c r="C80" s="17" t="s">
        <v>97</v>
      </c>
      <c r="D80" s="17" t="s">
        <v>98</v>
      </c>
    </row>
    <row r="81">
      <c r="A81" s="17">
        <v>9996.0</v>
      </c>
      <c r="B81" s="11" t="s">
        <v>99</v>
      </c>
      <c r="C81" s="17" t="s">
        <v>97</v>
      </c>
      <c r="D81" s="17" t="s">
        <v>100</v>
      </c>
    </row>
    <row r="82">
      <c r="A82" s="17">
        <v>9997.0</v>
      </c>
      <c r="B82" s="11" t="s">
        <v>101</v>
      </c>
      <c r="C82" s="17" t="s">
        <v>82</v>
      </c>
      <c r="D82" s="17" t="s">
        <v>102</v>
      </c>
    </row>
    <row r="83">
      <c r="A83" s="17">
        <v>9998.0</v>
      </c>
      <c r="B83" s="11" t="s">
        <v>103</v>
      </c>
      <c r="C83" s="17" t="s">
        <v>97</v>
      </c>
      <c r="D83" s="17" t="s">
        <v>104</v>
      </c>
    </row>
    <row r="84">
      <c r="A84" s="14" t="s">
        <v>105</v>
      </c>
      <c r="B84" s="11" t="s">
        <v>106</v>
      </c>
      <c r="C84" s="17" t="s">
        <v>94</v>
      </c>
      <c r="D84" s="17" t="s">
        <v>107</v>
      </c>
    </row>
    <row r="85">
      <c r="A85" s="6"/>
      <c r="B85" s="6"/>
      <c r="C85" s="6"/>
      <c r="D85" s="6"/>
    </row>
    <row r="86">
      <c r="A86" s="9" t="s">
        <v>3</v>
      </c>
      <c r="B86" s="10" t="s">
        <v>16</v>
      </c>
      <c r="C86" s="6"/>
      <c r="D86" s="6"/>
    </row>
    <row r="87">
      <c r="A87" s="9" t="s">
        <v>5</v>
      </c>
      <c r="B87" s="11" t="s">
        <v>108</v>
      </c>
      <c r="C87" s="6"/>
      <c r="D87" s="6"/>
    </row>
    <row r="88">
      <c r="A88" s="12" t="s">
        <v>7</v>
      </c>
      <c r="B88" s="13" t="s">
        <v>8</v>
      </c>
      <c r="C88" s="6"/>
      <c r="D88" s="6"/>
    </row>
    <row r="89">
      <c r="A89" s="14" t="s">
        <v>109</v>
      </c>
      <c r="B89" s="11" t="s">
        <v>110</v>
      </c>
      <c r="C89" s="6"/>
      <c r="D89" s="6"/>
    </row>
    <row r="90">
      <c r="A90" s="14" t="s">
        <v>111</v>
      </c>
      <c r="B90" s="11" t="s">
        <v>112</v>
      </c>
      <c r="C90" s="6"/>
      <c r="D90" s="6"/>
    </row>
    <row r="91">
      <c r="A91" s="14" t="s">
        <v>113</v>
      </c>
      <c r="B91" s="11" t="s">
        <v>114</v>
      </c>
      <c r="C91" s="6"/>
      <c r="D91" s="6"/>
    </row>
    <row r="92">
      <c r="A92" s="14" t="s">
        <v>115</v>
      </c>
      <c r="B92" s="11" t="s">
        <v>116</v>
      </c>
      <c r="C92" s="6"/>
      <c r="D92" s="6"/>
    </row>
    <row r="93">
      <c r="A93" s="14" t="s">
        <v>117</v>
      </c>
      <c r="B93" s="11" t="s">
        <v>118</v>
      </c>
      <c r="C93" s="6"/>
      <c r="D93" s="6"/>
    </row>
    <row r="94">
      <c r="A94" s="14" t="s">
        <v>119</v>
      </c>
      <c r="B94" s="11" t="s">
        <v>120</v>
      </c>
      <c r="C94" s="6"/>
      <c r="D94" s="6"/>
    </row>
    <row r="95">
      <c r="A95" s="17" t="s">
        <v>121</v>
      </c>
      <c r="B95" s="11" t="s">
        <v>122</v>
      </c>
      <c r="C95" s="6"/>
      <c r="D95" s="6"/>
    </row>
    <row r="96">
      <c r="A96" s="17" t="s">
        <v>123</v>
      </c>
      <c r="B96" s="11" t="s">
        <v>124</v>
      </c>
      <c r="C96" s="6"/>
      <c r="D96" s="6"/>
    </row>
    <row r="97">
      <c r="A97" s="17" t="s">
        <v>125</v>
      </c>
      <c r="B97" s="11" t="s">
        <v>126</v>
      </c>
      <c r="C97" s="6"/>
      <c r="D97" s="6"/>
    </row>
    <row r="98">
      <c r="A98" s="17" t="s">
        <v>127</v>
      </c>
      <c r="B98" s="11" t="s">
        <v>128</v>
      </c>
      <c r="C98" s="6"/>
      <c r="D98" s="6"/>
    </row>
    <row r="99">
      <c r="A99" s="27" t="s">
        <v>129</v>
      </c>
      <c r="B99" s="28" t="s">
        <v>130</v>
      </c>
      <c r="C99" s="6"/>
      <c r="D99" s="6"/>
    </row>
    <row r="100">
      <c r="A100" s="27" t="s">
        <v>131</v>
      </c>
      <c r="B100" s="28" t="s">
        <v>132</v>
      </c>
      <c r="C100" s="6"/>
      <c r="D100" s="6"/>
    </row>
    <row r="101">
      <c r="A101" s="6"/>
      <c r="B101" s="6"/>
      <c r="C101" s="6"/>
      <c r="D101" s="6"/>
    </row>
    <row r="102">
      <c r="A102" s="9" t="s">
        <v>3</v>
      </c>
      <c r="B102" s="10" t="s">
        <v>18</v>
      </c>
      <c r="C102" s="6"/>
      <c r="D102" s="6"/>
    </row>
    <row r="103">
      <c r="A103" s="9" t="s">
        <v>5</v>
      </c>
      <c r="B103" s="11" t="s">
        <v>133</v>
      </c>
      <c r="C103" s="6"/>
      <c r="D103" s="6"/>
    </row>
    <row r="104">
      <c r="A104" s="12" t="s">
        <v>7</v>
      </c>
      <c r="B104" s="13" t="s">
        <v>8</v>
      </c>
      <c r="C104" s="13" t="s">
        <v>134</v>
      </c>
      <c r="D104" s="6"/>
    </row>
    <row r="105">
      <c r="A105" s="14" t="s">
        <v>135</v>
      </c>
      <c r="B105" s="11" t="s">
        <v>136</v>
      </c>
      <c r="C105" s="17">
        <v>1000.0</v>
      </c>
      <c r="D105" s="6"/>
    </row>
    <row r="106">
      <c r="A106" s="14" t="s">
        <v>137</v>
      </c>
      <c r="B106" s="11" t="s">
        <v>138</v>
      </c>
      <c r="C106" s="29">
        <v>9996.0</v>
      </c>
      <c r="D106" s="6"/>
    </row>
    <row r="107">
      <c r="A107" s="14" t="s">
        <v>25</v>
      </c>
      <c r="B107" s="11" t="s">
        <v>139</v>
      </c>
      <c r="C107" s="29">
        <v>9996.0</v>
      </c>
      <c r="D107" s="6"/>
    </row>
    <row r="108">
      <c r="A108" s="14" t="s">
        <v>27</v>
      </c>
      <c r="B108" s="11" t="s">
        <v>140</v>
      </c>
      <c r="C108" s="29">
        <v>9996.0</v>
      </c>
      <c r="D108" s="6"/>
    </row>
    <row r="109">
      <c r="A109" s="14" t="s">
        <v>141</v>
      </c>
      <c r="B109" s="11" t="s">
        <v>142</v>
      </c>
      <c r="C109" s="17">
        <v>9996.0</v>
      </c>
      <c r="D109" s="6"/>
    </row>
    <row r="110">
      <c r="A110" s="14" t="s">
        <v>143</v>
      </c>
      <c r="B110" s="11" t="s">
        <v>144</v>
      </c>
      <c r="C110" s="17">
        <v>9996.0</v>
      </c>
      <c r="D110" s="6"/>
    </row>
    <row r="111">
      <c r="A111" s="14" t="s">
        <v>145</v>
      </c>
      <c r="B111" s="11" t="s">
        <v>146</v>
      </c>
      <c r="C111" s="17">
        <v>9996.0</v>
      </c>
      <c r="D111" s="6"/>
    </row>
    <row r="112">
      <c r="A112" s="17">
        <v>17.0</v>
      </c>
      <c r="B112" s="11" t="s">
        <v>147</v>
      </c>
      <c r="C112" s="17" t="s">
        <v>148</v>
      </c>
      <c r="D112" s="6"/>
    </row>
    <row r="113">
      <c r="A113" s="14" t="s">
        <v>35</v>
      </c>
      <c r="B113" s="11" t="s">
        <v>149</v>
      </c>
      <c r="C113" s="17">
        <v>9997.0</v>
      </c>
      <c r="D113" s="6"/>
    </row>
    <row r="114">
      <c r="A114" s="17">
        <v>21.0</v>
      </c>
      <c r="B114" s="11" t="s">
        <v>150</v>
      </c>
      <c r="C114" s="17">
        <v>9996.0</v>
      </c>
      <c r="D114" s="6"/>
    </row>
    <row r="115">
      <c r="A115" s="14" t="s">
        <v>42</v>
      </c>
      <c r="B115" s="11" t="s">
        <v>151</v>
      </c>
      <c r="C115" s="17">
        <v>9998.0</v>
      </c>
      <c r="D115" s="6"/>
    </row>
    <row r="116">
      <c r="A116" s="14" t="s">
        <v>44</v>
      </c>
      <c r="B116" s="11" t="s">
        <v>152</v>
      </c>
      <c r="C116" s="17">
        <v>9996.0</v>
      </c>
      <c r="D116" s="6"/>
    </row>
    <row r="117">
      <c r="A117" s="14" t="s">
        <v>153</v>
      </c>
      <c r="B117" s="11" t="s">
        <v>154</v>
      </c>
      <c r="C117" s="17">
        <v>9996.0</v>
      </c>
      <c r="D117" s="6"/>
    </row>
    <row r="118">
      <c r="A118" s="14" t="s">
        <v>155</v>
      </c>
      <c r="B118" s="11" t="s">
        <v>156</v>
      </c>
      <c r="C118" s="17">
        <v>9996.0</v>
      </c>
      <c r="D118" s="6"/>
    </row>
    <row r="119">
      <c r="A119" s="14" t="s">
        <v>157</v>
      </c>
      <c r="B119" s="11" t="s">
        <v>158</v>
      </c>
      <c r="C119" s="17">
        <v>9996.0</v>
      </c>
      <c r="D119" s="6"/>
    </row>
    <row r="120">
      <c r="A120" s="14" t="s">
        <v>159</v>
      </c>
      <c r="B120" s="11" t="s">
        <v>160</v>
      </c>
      <c r="C120" s="17">
        <v>9996.0</v>
      </c>
      <c r="D120" s="6"/>
    </row>
    <row r="121">
      <c r="A121" s="14" t="s">
        <v>161</v>
      </c>
      <c r="B121" s="11" t="s">
        <v>162</v>
      </c>
      <c r="C121" s="17">
        <v>9996.0</v>
      </c>
      <c r="D121" s="6"/>
    </row>
    <row r="122">
      <c r="A122" s="17">
        <v>37.0</v>
      </c>
      <c r="B122" s="11" t="s">
        <v>163</v>
      </c>
      <c r="C122" s="17">
        <v>9996.0</v>
      </c>
      <c r="D122" s="6"/>
    </row>
    <row r="123">
      <c r="A123" s="14" t="s">
        <v>51</v>
      </c>
      <c r="B123" s="11" t="s">
        <v>164</v>
      </c>
      <c r="C123" s="17" t="s">
        <v>165</v>
      </c>
      <c r="D123" s="6"/>
    </row>
    <row r="124">
      <c r="A124" s="6"/>
      <c r="B124" s="6"/>
      <c r="C124" s="6"/>
      <c r="D124" s="6"/>
    </row>
    <row r="125">
      <c r="A125" s="9" t="s">
        <v>3</v>
      </c>
      <c r="B125" s="10" t="s">
        <v>20</v>
      </c>
      <c r="C125" s="6"/>
      <c r="D125" s="6"/>
    </row>
    <row r="126">
      <c r="A126" s="9" t="s">
        <v>5</v>
      </c>
      <c r="B126" s="11" t="s">
        <v>166</v>
      </c>
      <c r="C126" s="6"/>
      <c r="D126" s="6"/>
    </row>
    <row r="127">
      <c r="A127" s="12" t="s">
        <v>7</v>
      </c>
      <c r="B127" s="13" t="s">
        <v>8</v>
      </c>
      <c r="C127" s="6"/>
      <c r="D127" s="6"/>
    </row>
    <row r="128">
      <c r="A128" s="14" t="s">
        <v>4</v>
      </c>
      <c r="B128" s="11" t="s">
        <v>167</v>
      </c>
      <c r="C128" s="6"/>
      <c r="D128" s="6"/>
    </row>
    <row r="129">
      <c r="A129" s="15" t="s">
        <v>67</v>
      </c>
      <c r="B129" s="11" t="s">
        <v>168</v>
      </c>
      <c r="C129" s="6"/>
      <c r="D129" s="6"/>
    </row>
    <row r="130">
      <c r="A130" s="14" t="s">
        <v>10</v>
      </c>
      <c r="B130" s="11" t="s">
        <v>169</v>
      </c>
      <c r="C130" s="6"/>
      <c r="D130" s="6"/>
    </row>
    <row r="131">
      <c r="A131" s="6"/>
      <c r="B131" s="6"/>
      <c r="C131" s="6"/>
      <c r="D131" s="6"/>
    </row>
    <row r="132">
      <c r="A132" s="9" t="s">
        <v>3</v>
      </c>
      <c r="B132" s="10" t="s">
        <v>22</v>
      </c>
      <c r="C132" s="6"/>
      <c r="D132" s="6"/>
    </row>
    <row r="133">
      <c r="A133" s="9" t="s">
        <v>5</v>
      </c>
      <c r="B133" s="11" t="s">
        <v>170</v>
      </c>
      <c r="C133" s="6"/>
      <c r="D133" s="6"/>
    </row>
    <row r="134">
      <c r="A134" s="12" t="s">
        <v>7</v>
      </c>
      <c r="B134" s="13" t="s">
        <v>8</v>
      </c>
      <c r="C134" s="6"/>
      <c r="D134" s="6"/>
    </row>
    <row r="135">
      <c r="A135" s="14" t="s">
        <v>4</v>
      </c>
      <c r="B135" s="11" t="s">
        <v>171</v>
      </c>
      <c r="C135" s="6"/>
      <c r="D135" s="6"/>
    </row>
    <row r="136">
      <c r="A136" s="14" t="s">
        <v>67</v>
      </c>
      <c r="B136" s="11" t="s">
        <v>172</v>
      </c>
      <c r="C136" s="6"/>
      <c r="D136" s="6"/>
    </row>
    <row r="137">
      <c r="A137" s="14" t="s">
        <v>10</v>
      </c>
      <c r="B137" s="11" t="s">
        <v>173</v>
      </c>
      <c r="C137" s="6"/>
      <c r="D137" s="6"/>
    </row>
    <row r="138">
      <c r="A138" s="14" t="s">
        <v>12</v>
      </c>
      <c r="B138" s="11" t="s">
        <v>174</v>
      </c>
      <c r="C138" s="6"/>
      <c r="D138" s="6"/>
    </row>
    <row r="139">
      <c r="A139" s="14" t="s">
        <v>14</v>
      </c>
      <c r="B139" s="11" t="s">
        <v>175</v>
      </c>
      <c r="C139" s="6"/>
      <c r="D139" s="6"/>
    </row>
    <row r="140">
      <c r="A140" s="14" t="s">
        <v>16</v>
      </c>
      <c r="B140" s="11" t="s">
        <v>176</v>
      </c>
      <c r="C140" s="6"/>
      <c r="D140" s="6"/>
    </row>
    <row r="141">
      <c r="A141" s="14" t="s">
        <v>18</v>
      </c>
      <c r="B141" s="11" t="s">
        <v>177</v>
      </c>
      <c r="C141" s="6"/>
      <c r="D141" s="6"/>
    </row>
    <row r="142">
      <c r="A142" s="14" t="s">
        <v>20</v>
      </c>
      <c r="B142" s="11" t="s">
        <v>178</v>
      </c>
      <c r="C142" s="6"/>
      <c r="D142" s="6"/>
    </row>
    <row r="143">
      <c r="A143" s="14" t="s">
        <v>22</v>
      </c>
      <c r="B143" s="11" t="s">
        <v>179</v>
      </c>
      <c r="C143" s="6"/>
      <c r="D143" s="6"/>
    </row>
    <row r="144">
      <c r="A144" s="14" t="s">
        <v>135</v>
      </c>
      <c r="B144" s="11" t="s">
        <v>180</v>
      </c>
      <c r="C144" s="6"/>
      <c r="D144" s="6"/>
    </row>
    <row r="145">
      <c r="A145" s="17">
        <v>11.0</v>
      </c>
      <c r="B145" s="11" t="s">
        <v>181</v>
      </c>
      <c r="C145" s="6"/>
      <c r="D145" s="6"/>
    </row>
    <row r="146">
      <c r="A146" s="17">
        <v>12.0</v>
      </c>
      <c r="B146" s="11" t="s">
        <v>182</v>
      </c>
      <c r="C146" s="6"/>
      <c r="D146" s="6"/>
    </row>
    <row r="147">
      <c r="A147" s="30">
        <v>13.0</v>
      </c>
      <c r="B147" s="31" t="s">
        <v>183</v>
      </c>
      <c r="C147" s="6"/>
      <c r="D147" s="6"/>
    </row>
    <row r="148">
      <c r="A148" s="20"/>
      <c r="B148" s="20"/>
      <c r="C148" s="6"/>
      <c r="D148" s="6"/>
    </row>
    <row r="149">
      <c r="A149" s="9" t="s">
        <v>3</v>
      </c>
      <c r="B149" s="10" t="s">
        <v>135</v>
      </c>
      <c r="C149" s="6"/>
      <c r="D149" s="6"/>
    </row>
    <row r="150">
      <c r="A150" s="9" t="s">
        <v>5</v>
      </c>
      <c r="B150" s="11" t="s">
        <v>184</v>
      </c>
      <c r="C150" s="6"/>
      <c r="D150" s="6"/>
    </row>
    <row r="151">
      <c r="A151" s="12" t="s">
        <v>7</v>
      </c>
      <c r="B151" s="13" t="s">
        <v>8</v>
      </c>
      <c r="C151" s="6"/>
      <c r="D151" s="6"/>
    </row>
    <row r="152">
      <c r="A152" s="14" t="s">
        <v>4</v>
      </c>
      <c r="B152" s="11" t="s">
        <v>185</v>
      </c>
      <c r="C152" s="6"/>
      <c r="D152" s="6"/>
    </row>
    <row r="153">
      <c r="A153" s="14" t="s">
        <v>67</v>
      </c>
      <c r="B153" s="11" t="s">
        <v>186</v>
      </c>
      <c r="C153" s="6"/>
      <c r="D153" s="6"/>
    </row>
    <row r="154">
      <c r="A154" s="14" t="s">
        <v>10</v>
      </c>
      <c r="B154" s="11" t="s">
        <v>187</v>
      </c>
      <c r="C154" s="6"/>
      <c r="D154" s="6"/>
    </row>
    <row r="155">
      <c r="A155" s="17">
        <v>11.0</v>
      </c>
      <c r="B155" s="11" t="s">
        <v>181</v>
      </c>
      <c r="C155" s="6"/>
      <c r="D155" s="6"/>
    </row>
    <row r="156">
      <c r="A156" s="17">
        <v>12.0</v>
      </c>
      <c r="B156" s="11" t="s">
        <v>182</v>
      </c>
      <c r="C156" s="6"/>
      <c r="D156" s="6"/>
    </row>
    <row r="157">
      <c r="A157" s="20"/>
      <c r="B157" s="20"/>
      <c r="C157" s="6"/>
      <c r="D157" s="6"/>
    </row>
    <row r="158">
      <c r="A158" s="9" t="s">
        <v>3</v>
      </c>
      <c r="B158" s="10" t="s">
        <v>137</v>
      </c>
      <c r="C158" s="6"/>
      <c r="D158" s="6"/>
    </row>
    <row r="159">
      <c r="A159" s="9" t="s">
        <v>5</v>
      </c>
      <c r="B159" s="11" t="s">
        <v>188</v>
      </c>
      <c r="C159" s="6"/>
      <c r="D159" s="6"/>
    </row>
    <row r="160">
      <c r="A160" s="12" t="s">
        <v>7</v>
      </c>
      <c r="B160" s="13" t="s">
        <v>8</v>
      </c>
      <c r="C160" s="6"/>
      <c r="D160" s="6"/>
    </row>
    <row r="161">
      <c r="A161" s="14" t="s">
        <v>4</v>
      </c>
      <c r="B161" s="11" t="s">
        <v>189</v>
      </c>
      <c r="C161" s="6"/>
      <c r="D161" s="6"/>
    </row>
    <row r="162">
      <c r="A162" s="14" t="s">
        <v>67</v>
      </c>
      <c r="B162" s="11" t="s">
        <v>101</v>
      </c>
      <c r="C162" s="6"/>
      <c r="D162" s="6"/>
    </row>
    <row r="163">
      <c r="A163" s="14" t="s">
        <v>10</v>
      </c>
      <c r="B163" s="11" t="s">
        <v>103</v>
      </c>
      <c r="C163" s="6"/>
      <c r="D163" s="6"/>
    </row>
    <row r="164">
      <c r="A164" s="14" t="s">
        <v>12</v>
      </c>
      <c r="B164" s="11" t="s">
        <v>96</v>
      </c>
      <c r="C164" s="6"/>
      <c r="D164" s="6"/>
    </row>
    <row r="165">
      <c r="A165" s="14" t="s">
        <v>14</v>
      </c>
      <c r="B165" s="11" t="s">
        <v>190</v>
      </c>
      <c r="C165" s="6"/>
      <c r="D165" s="6"/>
    </row>
    <row r="166">
      <c r="A166" s="20"/>
      <c r="B166" s="20"/>
      <c r="C166" s="6"/>
      <c r="D166" s="6"/>
    </row>
    <row r="167">
      <c r="A167" s="9" t="s">
        <v>3</v>
      </c>
      <c r="B167" s="10" t="s">
        <v>25</v>
      </c>
      <c r="C167" s="6"/>
      <c r="D167" s="6"/>
    </row>
    <row r="168">
      <c r="A168" s="9" t="s">
        <v>5</v>
      </c>
      <c r="B168" s="11" t="s">
        <v>191</v>
      </c>
      <c r="C168" s="6"/>
      <c r="D168" s="6"/>
    </row>
    <row r="169">
      <c r="A169" s="12" t="s">
        <v>7</v>
      </c>
      <c r="B169" s="13" t="s">
        <v>8</v>
      </c>
      <c r="C169" s="6"/>
      <c r="D169" s="6"/>
    </row>
    <row r="170">
      <c r="A170" s="14" t="s">
        <v>4</v>
      </c>
      <c r="B170" s="11" t="s">
        <v>192</v>
      </c>
      <c r="C170" s="6"/>
      <c r="D170" s="6"/>
    </row>
    <row r="171">
      <c r="A171" s="14" t="s">
        <v>67</v>
      </c>
      <c r="B171" s="11" t="s">
        <v>193</v>
      </c>
      <c r="C171" s="6"/>
      <c r="D171" s="6"/>
    </row>
    <row r="172">
      <c r="A172" s="14" t="s">
        <v>10</v>
      </c>
      <c r="B172" s="11" t="s">
        <v>194</v>
      </c>
      <c r="C172" s="6"/>
      <c r="D172" s="6"/>
    </row>
    <row r="173">
      <c r="A173" s="14" t="s">
        <v>12</v>
      </c>
      <c r="B173" s="11" t="s">
        <v>195</v>
      </c>
      <c r="C173" s="6"/>
      <c r="D173" s="6"/>
    </row>
    <row r="174">
      <c r="A174" s="14" t="s">
        <v>14</v>
      </c>
      <c r="B174" s="11" t="s">
        <v>196</v>
      </c>
      <c r="C174" s="6"/>
      <c r="D174" s="6"/>
    </row>
    <row r="175">
      <c r="A175" s="14" t="s">
        <v>16</v>
      </c>
      <c r="B175" s="11" t="s">
        <v>197</v>
      </c>
      <c r="C175" s="6"/>
      <c r="D175" s="6"/>
    </row>
    <row r="176">
      <c r="A176" s="14" t="s">
        <v>18</v>
      </c>
      <c r="B176" s="11" t="s">
        <v>198</v>
      </c>
      <c r="C176" s="6"/>
      <c r="D176" s="6"/>
    </row>
    <row r="177">
      <c r="A177" s="14" t="s">
        <v>20</v>
      </c>
      <c r="B177" s="11" t="s">
        <v>199</v>
      </c>
      <c r="C177" s="6"/>
      <c r="D177" s="6"/>
    </row>
    <row r="178">
      <c r="A178" s="14" t="s">
        <v>22</v>
      </c>
      <c r="B178" s="11" t="s">
        <v>200</v>
      </c>
      <c r="C178" s="6"/>
      <c r="D178" s="6"/>
    </row>
    <row r="179">
      <c r="A179" s="17">
        <v>10.0</v>
      </c>
      <c r="B179" s="11" t="s">
        <v>201</v>
      </c>
      <c r="C179" s="6"/>
      <c r="D179" s="6"/>
    </row>
    <row r="180">
      <c r="A180" s="14" t="s">
        <v>202</v>
      </c>
      <c r="B180" s="11" t="s">
        <v>203</v>
      </c>
      <c r="C180" s="6"/>
      <c r="D180" s="6"/>
    </row>
    <row r="181">
      <c r="A181" s="20"/>
      <c r="B181" s="20"/>
      <c r="C181" s="6"/>
      <c r="D181" s="6"/>
    </row>
    <row r="182">
      <c r="A182" s="9" t="s">
        <v>3</v>
      </c>
      <c r="B182" s="10" t="s">
        <v>27</v>
      </c>
      <c r="C182" s="6"/>
      <c r="D182" s="6"/>
    </row>
    <row r="183">
      <c r="A183" s="9" t="s">
        <v>5</v>
      </c>
      <c r="B183" s="11" t="s">
        <v>204</v>
      </c>
      <c r="C183" s="6"/>
      <c r="D183" s="6"/>
    </row>
    <row r="184">
      <c r="A184" s="12" t="s">
        <v>7</v>
      </c>
      <c r="B184" s="13" t="s">
        <v>8</v>
      </c>
      <c r="C184" s="6"/>
      <c r="D184" s="6"/>
    </row>
    <row r="185">
      <c r="A185" s="21" t="s">
        <v>205</v>
      </c>
      <c r="B185" s="8"/>
      <c r="C185" s="6"/>
      <c r="D185" s="6"/>
    </row>
    <row r="186">
      <c r="A186" s="32" t="s">
        <v>206</v>
      </c>
      <c r="B186" s="8"/>
      <c r="C186" s="6"/>
      <c r="D186" s="6"/>
    </row>
    <row r="187">
      <c r="A187" s="20"/>
      <c r="B187" s="20"/>
      <c r="C187" s="6"/>
      <c r="D187" s="6"/>
    </row>
    <row r="188">
      <c r="A188" s="9" t="s">
        <v>3</v>
      </c>
      <c r="B188" s="10" t="s">
        <v>141</v>
      </c>
      <c r="C188" s="6"/>
      <c r="D188" s="6"/>
    </row>
    <row r="189">
      <c r="A189" s="9" t="s">
        <v>5</v>
      </c>
      <c r="B189" s="11" t="s">
        <v>207</v>
      </c>
      <c r="C189" s="6"/>
      <c r="D189" s="6"/>
    </row>
    <row r="190">
      <c r="A190" s="12" t="s">
        <v>7</v>
      </c>
      <c r="B190" s="13" t="s">
        <v>8</v>
      </c>
      <c r="C190" s="6"/>
      <c r="D190" s="6"/>
    </row>
    <row r="191">
      <c r="A191" s="14" t="s">
        <v>80</v>
      </c>
      <c r="B191" s="11" t="s">
        <v>208</v>
      </c>
      <c r="C191" s="6"/>
      <c r="D191" s="6"/>
    </row>
    <row r="192">
      <c r="A192" s="14" t="s">
        <v>209</v>
      </c>
      <c r="B192" s="11" t="s">
        <v>210</v>
      </c>
      <c r="C192" s="6"/>
      <c r="D192" s="6"/>
    </row>
    <row r="193">
      <c r="A193" s="14" t="s">
        <v>211</v>
      </c>
      <c r="B193" s="10" t="s">
        <v>212</v>
      </c>
      <c r="C193" s="6"/>
      <c r="D193" s="6"/>
    </row>
    <row r="194">
      <c r="A194" s="14" t="s">
        <v>213</v>
      </c>
      <c r="B194" s="10" t="s">
        <v>214</v>
      </c>
      <c r="C194" s="6"/>
      <c r="D194" s="6"/>
    </row>
    <row r="195">
      <c r="A195" s="14" t="s">
        <v>215</v>
      </c>
      <c r="B195" s="10" t="s">
        <v>216</v>
      </c>
      <c r="C195" s="6"/>
      <c r="D195" s="6"/>
    </row>
    <row r="196">
      <c r="A196" s="14" t="s">
        <v>217</v>
      </c>
      <c r="B196" s="10" t="s">
        <v>218</v>
      </c>
      <c r="C196" s="6"/>
      <c r="D196" s="6"/>
    </row>
    <row r="197">
      <c r="A197" s="14" t="s">
        <v>219</v>
      </c>
      <c r="B197" s="10" t="s">
        <v>220</v>
      </c>
      <c r="C197" s="6"/>
      <c r="D197" s="6"/>
    </row>
    <row r="198">
      <c r="A198" s="14" t="s">
        <v>221</v>
      </c>
      <c r="B198" s="10" t="s">
        <v>222</v>
      </c>
      <c r="C198" s="6"/>
      <c r="D198" s="6"/>
    </row>
    <row r="199">
      <c r="A199" s="14" t="s">
        <v>223</v>
      </c>
      <c r="B199" s="10" t="s">
        <v>224</v>
      </c>
      <c r="C199" s="6"/>
      <c r="D199" s="6"/>
    </row>
    <row r="200">
      <c r="A200" s="14" t="s">
        <v>225</v>
      </c>
      <c r="B200" s="10" t="s">
        <v>226</v>
      </c>
      <c r="C200" s="6"/>
      <c r="D200" s="6"/>
    </row>
    <row r="201">
      <c r="A201" s="14" t="s">
        <v>227</v>
      </c>
      <c r="B201" s="10" t="s">
        <v>228</v>
      </c>
      <c r="C201" s="6"/>
      <c r="D201" s="6"/>
    </row>
    <row r="202">
      <c r="A202" s="17">
        <v>3001.0</v>
      </c>
      <c r="B202" s="11" t="s">
        <v>229</v>
      </c>
      <c r="C202" s="6"/>
      <c r="D202" s="6"/>
    </row>
    <row r="203">
      <c r="A203" s="20"/>
      <c r="B203" s="20"/>
      <c r="C203" s="6"/>
      <c r="D203" s="6"/>
    </row>
    <row r="204">
      <c r="A204" s="9" t="s">
        <v>3</v>
      </c>
      <c r="B204" s="10" t="s">
        <v>143</v>
      </c>
      <c r="C204" s="6"/>
      <c r="D204" s="6"/>
    </row>
    <row r="205">
      <c r="A205" s="9" t="s">
        <v>5</v>
      </c>
      <c r="B205" s="11" t="s">
        <v>230</v>
      </c>
      <c r="C205" s="6"/>
      <c r="D205" s="6"/>
    </row>
    <row r="206">
      <c r="A206" s="12" t="s">
        <v>7</v>
      </c>
      <c r="B206" s="13" t="s">
        <v>8</v>
      </c>
      <c r="C206" s="6"/>
      <c r="D206" s="6"/>
    </row>
    <row r="207">
      <c r="A207" s="14" t="s">
        <v>80</v>
      </c>
      <c r="B207" s="11" t="s">
        <v>231</v>
      </c>
      <c r="C207" s="6"/>
      <c r="D207" s="6"/>
    </row>
    <row r="208">
      <c r="A208" s="14" t="s">
        <v>211</v>
      </c>
      <c r="B208" s="11" t="s">
        <v>232</v>
      </c>
      <c r="C208" s="6"/>
      <c r="D208" s="6"/>
    </row>
    <row r="209">
      <c r="A209" s="14" t="s">
        <v>86</v>
      </c>
      <c r="B209" s="11" t="s">
        <v>233</v>
      </c>
      <c r="C209" s="6"/>
      <c r="D209" s="6"/>
    </row>
    <row r="210">
      <c r="A210" s="14" t="s">
        <v>219</v>
      </c>
      <c r="B210" s="11" t="s">
        <v>234</v>
      </c>
      <c r="C210" s="6"/>
      <c r="D210" s="6"/>
    </row>
    <row r="211">
      <c r="A211" s="14" t="s">
        <v>221</v>
      </c>
      <c r="B211" s="11" t="s">
        <v>235</v>
      </c>
      <c r="C211" s="6"/>
      <c r="D211" s="6"/>
    </row>
    <row r="212">
      <c r="A212" s="14" t="s">
        <v>223</v>
      </c>
      <c r="B212" s="11" t="s">
        <v>236</v>
      </c>
      <c r="C212" s="6"/>
      <c r="D212" s="6"/>
    </row>
    <row r="213">
      <c r="A213" s="14" t="s">
        <v>225</v>
      </c>
      <c r="B213" s="11" t="s">
        <v>237</v>
      </c>
      <c r="C213" s="6"/>
      <c r="D213" s="6"/>
    </row>
    <row r="214">
      <c r="A214" s="14" t="s">
        <v>227</v>
      </c>
      <c r="B214" s="11" t="s">
        <v>238</v>
      </c>
      <c r="C214" s="6"/>
      <c r="D214" s="6"/>
    </row>
    <row r="215">
      <c r="A215" s="14" t="s">
        <v>239</v>
      </c>
      <c r="B215" s="33" t="s">
        <v>240</v>
      </c>
      <c r="C215" s="6"/>
      <c r="D215" s="6"/>
    </row>
    <row r="216">
      <c r="A216" s="17">
        <v>2007.0</v>
      </c>
      <c r="B216" s="11" t="s">
        <v>241</v>
      </c>
      <c r="C216" s="6"/>
      <c r="D216" s="6"/>
    </row>
    <row r="217">
      <c r="A217" s="17">
        <v>2010.0</v>
      </c>
      <c r="B217" s="11" t="s">
        <v>242</v>
      </c>
      <c r="C217" s="6"/>
      <c r="D217" s="6"/>
    </row>
    <row r="218">
      <c r="A218" s="14" t="s">
        <v>243</v>
      </c>
      <c r="B218" s="33" t="s">
        <v>244</v>
      </c>
      <c r="C218" s="6"/>
      <c r="D218" s="6"/>
    </row>
    <row r="219">
      <c r="A219" s="14" t="s">
        <v>245</v>
      </c>
      <c r="B219" s="33" t="s">
        <v>246</v>
      </c>
      <c r="C219" s="6"/>
      <c r="D219" s="6"/>
    </row>
    <row r="220">
      <c r="A220" s="14" t="s">
        <v>247</v>
      </c>
      <c r="B220" s="33" t="s">
        <v>248</v>
      </c>
      <c r="C220" s="6"/>
      <c r="D220" s="6"/>
    </row>
    <row r="221">
      <c r="A221" s="14" t="s">
        <v>249</v>
      </c>
      <c r="B221" s="33" t="s">
        <v>250</v>
      </c>
      <c r="C221" s="6"/>
      <c r="D221" s="6"/>
    </row>
    <row r="222">
      <c r="A222" s="14" t="s">
        <v>251</v>
      </c>
      <c r="B222" s="33" t="s">
        <v>252</v>
      </c>
      <c r="C222" s="6"/>
      <c r="D222" s="6"/>
    </row>
    <row r="223">
      <c r="A223" s="14" t="s">
        <v>253</v>
      </c>
      <c r="B223" s="33" t="s">
        <v>254</v>
      </c>
      <c r="C223" s="6"/>
      <c r="D223" s="6"/>
    </row>
    <row r="224">
      <c r="A224" s="14" t="s">
        <v>255</v>
      </c>
      <c r="B224" s="33" t="s">
        <v>256</v>
      </c>
      <c r="C224" s="6"/>
      <c r="D224" s="6"/>
    </row>
    <row r="225">
      <c r="A225" s="14" t="s">
        <v>257</v>
      </c>
      <c r="B225" s="33" t="s">
        <v>258</v>
      </c>
      <c r="C225" s="6"/>
      <c r="D225" s="6"/>
    </row>
    <row r="226">
      <c r="A226" s="14" t="s">
        <v>259</v>
      </c>
      <c r="B226" s="33" t="s">
        <v>260</v>
      </c>
      <c r="C226" s="6"/>
      <c r="D226" s="6"/>
    </row>
    <row r="227">
      <c r="A227" s="14" t="s">
        <v>261</v>
      </c>
      <c r="B227" s="33" t="s">
        <v>262</v>
      </c>
      <c r="C227" s="6"/>
      <c r="D227" s="6"/>
    </row>
    <row r="228">
      <c r="A228" s="14" t="s">
        <v>263</v>
      </c>
      <c r="B228" s="33" t="s">
        <v>264</v>
      </c>
      <c r="C228" s="6"/>
      <c r="D228" s="6"/>
    </row>
    <row r="229">
      <c r="A229" s="14" t="s">
        <v>265</v>
      </c>
      <c r="B229" s="11" t="s">
        <v>266</v>
      </c>
      <c r="C229" s="6"/>
      <c r="D229" s="6"/>
    </row>
    <row r="230">
      <c r="A230" s="14" t="s">
        <v>267</v>
      </c>
      <c r="B230" s="11" t="s">
        <v>268</v>
      </c>
      <c r="C230" s="6"/>
      <c r="D230" s="6"/>
    </row>
    <row r="231">
      <c r="A231" s="14" t="s">
        <v>269</v>
      </c>
      <c r="B231" s="11" t="s">
        <v>270</v>
      </c>
      <c r="C231" s="6"/>
      <c r="D231" s="6"/>
    </row>
    <row r="232">
      <c r="A232" s="14" t="s">
        <v>271</v>
      </c>
      <c r="B232" s="11" t="s">
        <v>272</v>
      </c>
      <c r="C232" s="6"/>
      <c r="D232" s="6"/>
    </row>
    <row r="233">
      <c r="A233" s="14" t="s">
        <v>273</v>
      </c>
      <c r="B233" s="11" t="s">
        <v>274</v>
      </c>
      <c r="C233" s="6"/>
      <c r="D233" s="6"/>
    </row>
    <row r="234">
      <c r="A234" s="14" t="s">
        <v>275</v>
      </c>
      <c r="B234" s="11" t="s">
        <v>276</v>
      </c>
      <c r="C234" s="6"/>
      <c r="D234" s="6"/>
    </row>
    <row r="235">
      <c r="A235" s="14" t="s">
        <v>277</v>
      </c>
      <c r="B235" s="11" t="s">
        <v>278</v>
      </c>
      <c r="C235" s="6"/>
      <c r="D235" s="6"/>
    </row>
    <row r="236">
      <c r="A236" s="14" t="s">
        <v>279</v>
      </c>
      <c r="B236" s="11" t="s">
        <v>280</v>
      </c>
      <c r="C236" s="6"/>
      <c r="D236" s="6"/>
    </row>
    <row r="237">
      <c r="A237" s="14" t="s">
        <v>281</v>
      </c>
      <c r="B237" s="11" t="s">
        <v>282</v>
      </c>
      <c r="C237" s="6"/>
      <c r="D237" s="6"/>
    </row>
    <row r="238">
      <c r="A238" s="14" t="s">
        <v>283</v>
      </c>
      <c r="B238" s="11" t="s">
        <v>284</v>
      </c>
      <c r="C238" s="6"/>
      <c r="D238" s="6"/>
    </row>
    <row r="239">
      <c r="A239" s="14" t="s">
        <v>285</v>
      </c>
      <c r="B239" s="11" t="s">
        <v>286</v>
      </c>
      <c r="C239" s="6"/>
      <c r="D239" s="6"/>
    </row>
    <row r="240">
      <c r="A240" s="14" t="s">
        <v>287</v>
      </c>
      <c r="B240" s="11" t="s">
        <v>288</v>
      </c>
      <c r="C240" s="6"/>
      <c r="D240" s="6"/>
    </row>
    <row r="241">
      <c r="A241" s="14" t="s">
        <v>289</v>
      </c>
      <c r="B241" s="11" t="s">
        <v>290</v>
      </c>
      <c r="C241" s="6"/>
      <c r="D241" s="6"/>
    </row>
    <row r="242">
      <c r="A242" s="14" t="s">
        <v>291</v>
      </c>
      <c r="B242" s="11" t="s">
        <v>292</v>
      </c>
      <c r="C242" s="6"/>
      <c r="D242" s="6"/>
    </row>
    <row r="243">
      <c r="A243" s="14" t="s">
        <v>293</v>
      </c>
      <c r="B243" s="11" t="s">
        <v>294</v>
      </c>
      <c r="C243" s="6"/>
      <c r="D243" s="6"/>
    </row>
    <row r="244">
      <c r="A244" s="14" t="s">
        <v>295</v>
      </c>
      <c r="B244" s="11" t="s">
        <v>296</v>
      </c>
      <c r="C244" s="6"/>
      <c r="D244" s="6"/>
    </row>
    <row r="245">
      <c r="A245" s="14" t="s">
        <v>297</v>
      </c>
      <c r="B245" s="11" t="s">
        <v>298</v>
      </c>
      <c r="C245" s="6"/>
      <c r="D245" s="6"/>
    </row>
    <row r="246">
      <c r="A246" s="14" t="s">
        <v>299</v>
      </c>
      <c r="B246" s="11" t="s">
        <v>300</v>
      </c>
      <c r="C246" s="6"/>
      <c r="D246" s="6"/>
    </row>
    <row r="247">
      <c r="A247" s="14" t="s">
        <v>301</v>
      </c>
      <c r="B247" s="11" t="s">
        <v>302</v>
      </c>
      <c r="C247" s="6"/>
      <c r="D247" s="6"/>
    </row>
    <row r="248">
      <c r="A248" s="14" t="s">
        <v>303</v>
      </c>
      <c r="B248" s="11" t="s">
        <v>304</v>
      </c>
      <c r="C248" s="6"/>
      <c r="D248" s="6"/>
    </row>
    <row r="249">
      <c r="A249" s="14" t="s">
        <v>305</v>
      </c>
      <c r="B249" s="11" t="s">
        <v>306</v>
      </c>
      <c r="C249" s="6"/>
      <c r="D249" s="6"/>
    </row>
    <row r="250">
      <c r="A250" s="17">
        <v>7000.0</v>
      </c>
      <c r="B250" s="11" t="s">
        <v>307</v>
      </c>
      <c r="C250" s="6"/>
      <c r="D250" s="6"/>
    </row>
    <row r="251">
      <c r="A251" s="17">
        <v>7001.0</v>
      </c>
      <c r="B251" s="11" t="s">
        <v>308</v>
      </c>
      <c r="C251" s="6"/>
      <c r="D251" s="6"/>
    </row>
    <row r="252">
      <c r="A252" s="20"/>
      <c r="B252" s="20"/>
      <c r="C252" s="6"/>
      <c r="D252" s="6"/>
    </row>
    <row r="253">
      <c r="A253" s="9" t="s">
        <v>3</v>
      </c>
      <c r="B253" s="10" t="s">
        <v>145</v>
      </c>
      <c r="C253" s="6"/>
      <c r="D253" s="6"/>
    </row>
    <row r="254">
      <c r="A254" s="9" t="s">
        <v>5</v>
      </c>
      <c r="B254" s="11" t="s">
        <v>309</v>
      </c>
      <c r="C254" s="6"/>
      <c r="D254" s="6"/>
    </row>
    <row r="255">
      <c r="A255" s="12" t="s">
        <v>7</v>
      </c>
      <c r="B255" s="13" t="s">
        <v>8</v>
      </c>
      <c r="C255" s="6"/>
      <c r="D255" s="6"/>
    </row>
    <row r="256">
      <c r="A256" s="14" t="s">
        <v>4</v>
      </c>
      <c r="B256" s="11" t="s">
        <v>310</v>
      </c>
      <c r="C256" s="6"/>
      <c r="D256" s="6"/>
    </row>
    <row r="257">
      <c r="A257" s="14" t="s">
        <v>67</v>
      </c>
      <c r="B257" s="11" t="s">
        <v>311</v>
      </c>
      <c r="C257" s="6"/>
      <c r="D257" s="6"/>
    </row>
    <row r="258">
      <c r="A258" s="14" t="s">
        <v>10</v>
      </c>
      <c r="B258" s="11" t="s">
        <v>312</v>
      </c>
      <c r="C258" s="6"/>
      <c r="D258" s="6"/>
    </row>
    <row r="259">
      <c r="A259" s="20"/>
      <c r="B259" s="20"/>
      <c r="C259" s="6"/>
      <c r="D259" s="6"/>
    </row>
    <row r="260">
      <c r="A260" s="9" t="s">
        <v>3</v>
      </c>
      <c r="B260" s="10" t="s">
        <v>313</v>
      </c>
      <c r="C260" s="6"/>
      <c r="D260" s="6"/>
    </row>
    <row r="261">
      <c r="A261" s="9" t="s">
        <v>5</v>
      </c>
      <c r="B261" s="11" t="s">
        <v>314</v>
      </c>
      <c r="C261" s="6"/>
      <c r="D261" s="6"/>
    </row>
    <row r="262">
      <c r="A262" s="12" t="s">
        <v>7</v>
      </c>
      <c r="B262" s="13" t="s">
        <v>8</v>
      </c>
      <c r="C262" s="6"/>
      <c r="D262" s="6"/>
    </row>
    <row r="263">
      <c r="A263" s="14" t="s">
        <v>4</v>
      </c>
      <c r="B263" s="10" t="s">
        <v>315</v>
      </c>
      <c r="C263" s="6"/>
      <c r="D263" s="6"/>
    </row>
    <row r="264">
      <c r="A264" s="14" t="s">
        <v>67</v>
      </c>
      <c r="B264" s="11" t="s">
        <v>316</v>
      </c>
      <c r="C264" s="6"/>
      <c r="D264" s="6"/>
    </row>
    <row r="265">
      <c r="A265" s="14" t="s">
        <v>10</v>
      </c>
      <c r="B265" s="10" t="s">
        <v>317</v>
      </c>
      <c r="C265" s="6"/>
      <c r="D265" s="6"/>
    </row>
    <row r="266">
      <c r="A266" s="14" t="s">
        <v>12</v>
      </c>
      <c r="B266" s="10" t="s">
        <v>318</v>
      </c>
      <c r="C266" s="6"/>
      <c r="D266" s="6"/>
    </row>
    <row r="267">
      <c r="A267" s="14" t="s">
        <v>14</v>
      </c>
      <c r="B267" s="10" t="s">
        <v>319</v>
      </c>
      <c r="C267" s="6"/>
      <c r="D267" s="6"/>
    </row>
    <row r="268">
      <c r="A268" s="14" t="s">
        <v>16</v>
      </c>
      <c r="B268" s="10" t="s">
        <v>320</v>
      </c>
      <c r="C268" s="6"/>
      <c r="D268" s="6"/>
    </row>
    <row r="269">
      <c r="A269" s="14" t="s">
        <v>18</v>
      </c>
      <c r="B269" s="10" t="s">
        <v>321</v>
      </c>
      <c r="C269" s="6"/>
      <c r="D269" s="6"/>
    </row>
    <row r="270">
      <c r="A270" s="14" t="s">
        <v>20</v>
      </c>
      <c r="B270" s="10" t="s">
        <v>322</v>
      </c>
      <c r="C270" s="6"/>
      <c r="D270" s="6"/>
    </row>
    <row r="271">
      <c r="A271" s="14" t="s">
        <v>135</v>
      </c>
      <c r="B271" s="10" t="s">
        <v>323</v>
      </c>
      <c r="C271" s="6"/>
      <c r="D271" s="6"/>
    </row>
    <row r="272">
      <c r="A272" s="14" t="s">
        <v>137</v>
      </c>
      <c r="B272" s="10" t="s">
        <v>324</v>
      </c>
      <c r="C272" s="6"/>
      <c r="D272" s="6"/>
    </row>
    <row r="273">
      <c r="A273" s="17">
        <v>12.0</v>
      </c>
      <c r="B273" s="11" t="s">
        <v>325</v>
      </c>
      <c r="C273" s="6"/>
      <c r="D273" s="6"/>
    </row>
    <row r="274">
      <c r="A274" s="17">
        <v>13.0</v>
      </c>
      <c r="B274" s="11" t="s">
        <v>326</v>
      </c>
      <c r="C274" s="6"/>
      <c r="D274" s="6"/>
    </row>
    <row r="275">
      <c r="A275" s="17">
        <v>14.0</v>
      </c>
      <c r="B275" s="34" t="s">
        <v>327</v>
      </c>
      <c r="C275" s="6"/>
      <c r="D275" s="6"/>
    </row>
    <row r="276">
      <c r="A276" s="17">
        <v>15.0</v>
      </c>
      <c r="B276" s="34" t="s">
        <v>328</v>
      </c>
      <c r="C276" s="6"/>
      <c r="D276" s="6"/>
    </row>
    <row r="277">
      <c r="A277" s="17">
        <v>16.0</v>
      </c>
      <c r="B277" s="35" t="s">
        <v>329</v>
      </c>
      <c r="C277" s="6"/>
      <c r="D277" s="6"/>
    </row>
    <row r="278">
      <c r="A278" s="17">
        <v>17.0</v>
      </c>
      <c r="B278" s="35" t="s">
        <v>330</v>
      </c>
      <c r="C278" s="6"/>
      <c r="D278" s="6"/>
    </row>
    <row r="279">
      <c r="A279" s="17">
        <v>18.0</v>
      </c>
      <c r="B279" s="35" t="s">
        <v>331</v>
      </c>
      <c r="C279" s="6"/>
      <c r="D279" s="6"/>
    </row>
    <row r="280">
      <c r="A280" s="17">
        <v>19.0</v>
      </c>
      <c r="B280" s="35" t="s">
        <v>332</v>
      </c>
      <c r="C280" s="6"/>
      <c r="D280" s="6"/>
    </row>
    <row r="281">
      <c r="A281" s="17">
        <v>20.0</v>
      </c>
      <c r="B281" s="16" t="s">
        <v>333</v>
      </c>
      <c r="C281" s="6"/>
      <c r="D281" s="6"/>
    </row>
    <row r="282">
      <c r="A282" s="17">
        <v>21.0</v>
      </c>
      <c r="B282" s="35" t="s">
        <v>334</v>
      </c>
      <c r="C282" s="6"/>
      <c r="D282" s="6"/>
    </row>
    <row r="283">
      <c r="A283" s="20"/>
      <c r="B283" s="20"/>
      <c r="C283" s="6"/>
      <c r="D283" s="6"/>
    </row>
    <row r="284">
      <c r="A284" s="9" t="s">
        <v>3</v>
      </c>
      <c r="B284" s="10" t="s">
        <v>32</v>
      </c>
      <c r="C284" s="6"/>
      <c r="D284" s="6"/>
    </row>
    <row r="285">
      <c r="A285" s="9" t="s">
        <v>5</v>
      </c>
      <c r="B285" s="11" t="s">
        <v>335</v>
      </c>
      <c r="C285" s="6"/>
      <c r="D285" s="6"/>
    </row>
    <row r="286">
      <c r="A286" s="12" t="s">
        <v>7</v>
      </c>
      <c r="B286" s="13" t="s">
        <v>8</v>
      </c>
      <c r="C286" s="6"/>
      <c r="D286" s="6"/>
    </row>
    <row r="287">
      <c r="A287" s="14" t="s">
        <v>4</v>
      </c>
      <c r="B287" s="11" t="s">
        <v>336</v>
      </c>
      <c r="C287" s="6"/>
      <c r="D287" s="6"/>
    </row>
    <row r="288">
      <c r="A288" s="14" t="s">
        <v>67</v>
      </c>
      <c r="B288" s="11" t="s">
        <v>337</v>
      </c>
      <c r="C288" s="6"/>
      <c r="D288" s="6"/>
    </row>
    <row r="289">
      <c r="A289" s="20"/>
      <c r="B289" s="20"/>
      <c r="C289" s="6"/>
      <c r="D289" s="6"/>
    </row>
    <row r="290">
      <c r="A290" s="9" t="s">
        <v>3</v>
      </c>
      <c r="B290" s="10" t="s">
        <v>338</v>
      </c>
      <c r="C290" s="6"/>
      <c r="D290" s="6"/>
    </row>
    <row r="291">
      <c r="A291" s="9" t="s">
        <v>5</v>
      </c>
      <c r="B291" s="11" t="s">
        <v>339</v>
      </c>
      <c r="C291" s="6"/>
      <c r="D291" s="6"/>
    </row>
    <row r="292">
      <c r="A292" s="12" t="s">
        <v>7</v>
      </c>
      <c r="B292" s="13" t="s">
        <v>8</v>
      </c>
      <c r="C292" s="6"/>
      <c r="D292" s="6"/>
    </row>
    <row r="293">
      <c r="A293" s="14" t="s">
        <v>111</v>
      </c>
      <c r="B293" s="11" t="s">
        <v>340</v>
      </c>
      <c r="C293" s="6"/>
      <c r="D293" s="6"/>
    </row>
    <row r="294">
      <c r="A294" s="14" t="s">
        <v>341</v>
      </c>
      <c r="B294" s="11" t="s">
        <v>342</v>
      </c>
      <c r="C294" s="6"/>
      <c r="D294" s="6"/>
    </row>
    <row r="295">
      <c r="A295" s="17">
        <v>3.0</v>
      </c>
      <c r="B295" s="11" t="s">
        <v>343</v>
      </c>
      <c r="C295" s="6"/>
      <c r="D295" s="6"/>
    </row>
    <row r="296">
      <c r="A296" s="20"/>
      <c r="B296" s="20"/>
      <c r="C296" s="6"/>
      <c r="D296" s="6"/>
    </row>
    <row r="297">
      <c r="A297" s="9" t="s">
        <v>3</v>
      </c>
      <c r="B297" s="10" t="s">
        <v>35</v>
      </c>
      <c r="C297" s="6"/>
      <c r="D297" s="6"/>
    </row>
    <row r="298">
      <c r="A298" s="9" t="s">
        <v>5</v>
      </c>
      <c r="B298" s="11" t="s">
        <v>344</v>
      </c>
      <c r="C298" s="6"/>
      <c r="D298" s="6"/>
    </row>
    <row r="299">
      <c r="A299" s="12" t="s">
        <v>7</v>
      </c>
      <c r="B299" s="13" t="s">
        <v>8</v>
      </c>
      <c r="C299" s="6"/>
      <c r="D299" s="6"/>
    </row>
    <row r="300">
      <c r="A300" s="14" t="s">
        <v>4</v>
      </c>
      <c r="B300" s="36" t="s">
        <v>345</v>
      </c>
      <c r="C300" s="6"/>
      <c r="D300" s="6"/>
    </row>
    <row r="301">
      <c r="A301" s="14" t="s">
        <v>67</v>
      </c>
      <c r="B301" s="36" t="s">
        <v>346</v>
      </c>
      <c r="C301" s="6"/>
      <c r="D301" s="6"/>
    </row>
    <row r="302">
      <c r="A302" s="14" t="s">
        <v>12</v>
      </c>
      <c r="B302" s="36" t="s">
        <v>347</v>
      </c>
      <c r="C302" s="6"/>
      <c r="D302" s="6"/>
    </row>
    <row r="303">
      <c r="A303" s="14" t="s">
        <v>20</v>
      </c>
      <c r="B303" s="36" t="s">
        <v>348</v>
      </c>
      <c r="C303" s="6"/>
      <c r="D303" s="6"/>
    </row>
    <row r="304">
      <c r="A304" s="14" t="s">
        <v>22</v>
      </c>
      <c r="B304" s="36" t="s">
        <v>96</v>
      </c>
      <c r="C304" s="6"/>
      <c r="D304" s="6"/>
    </row>
    <row r="305">
      <c r="A305" s="14" t="s">
        <v>27</v>
      </c>
      <c r="B305" s="36" t="s">
        <v>203</v>
      </c>
      <c r="C305" s="6"/>
      <c r="D305" s="6"/>
    </row>
    <row r="306">
      <c r="A306" s="14" t="s">
        <v>141</v>
      </c>
      <c r="B306" s="36" t="s">
        <v>349</v>
      </c>
      <c r="C306" s="6"/>
      <c r="D306" s="6"/>
    </row>
    <row r="307">
      <c r="A307" s="14" t="s">
        <v>32</v>
      </c>
      <c r="B307" s="36" t="s">
        <v>350</v>
      </c>
      <c r="C307" s="6"/>
      <c r="D307" s="6"/>
    </row>
    <row r="308">
      <c r="A308" s="14" t="s">
        <v>338</v>
      </c>
      <c r="B308" s="36" t="s">
        <v>351</v>
      </c>
      <c r="C308" s="6"/>
      <c r="D308" s="6"/>
    </row>
    <row r="309">
      <c r="A309" s="20"/>
      <c r="B309" s="20"/>
      <c r="C309" s="6"/>
      <c r="D309" s="6"/>
    </row>
    <row r="310">
      <c r="A310" s="9" t="s">
        <v>3</v>
      </c>
      <c r="B310" s="10" t="s">
        <v>352</v>
      </c>
      <c r="C310" s="6"/>
      <c r="D310" s="6"/>
    </row>
    <row r="311">
      <c r="A311" s="9" t="s">
        <v>5</v>
      </c>
      <c r="B311" s="11" t="s">
        <v>353</v>
      </c>
      <c r="C311" s="6"/>
      <c r="D311" s="6"/>
    </row>
    <row r="312">
      <c r="A312" s="12" t="s">
        <v>7</v>
      </c>
      <c r="B312" s="13" t="s">
        <v>8</v>
      </c>
      <c r="C312" s="6"/>
      <c r="D312" s="6"/>
    </row>
    <row r="313">
      <c r="A313" s="14" t="s">
        <v>4</v>
      </c>
      <c r="B313" s="11" t="s">
        <v>354</v>
      </c>
      <c r="C313" s="6"/>
      <c r="D313" s="6"/>
    </row>
    <row r="314">
      <c r="A314" s="14" t="s">
        <v>67</v>
      </c>
      <c r="B314" s="11" t="s">
        <v>355</v>
      </c>
      <c r="C314" s="6"/>
      <c r="D314" s="6"/>
    </row>
    <row r="315">
      <c r="A315" s="14" t="s">
        <v>10</v>
      </c>
      <c r="B315" s="11" t="s">
        <v>356</v>
      </c>
      <c r="C315" s="6"/>
      <c r="D315" s="6"/>
    </row>
    <row r="316">
      <c r="A316" s="14" t="s">
        <v>12</v>
      </c>
      <c r="B316" s="11" t="s">
        <v>357</v>
      </c>
      <c r="C316" s="6"/>
      <c r="D316" s="6"/>
    </row>
    <row r="317">
      <c r="A317" s="14" t="s">
        <v>14</v>
      </c>
      <c r="B317" s="11" t="s">
        <v>358</v>
      </c>
      <c r="C317" s="6"/>
      <c r="D317" s="6"/>
    </row>
    <row r="318">
      <c r="A318" s="14" t="s">
        <v>16</v>
      </c>
      <c r="B318" s="11" t="s">
        <v>203</v>
      </c>
      <c r="C318" s="6"/>
      <c r="D318" s="6"/>
    </row>
    <row r="319">
      <c r="A319" s="20"/>
      <c r="B319" s="20"/>
      <c r="C319" s="6"/>
      <c r="D319" s="6"/>
    </row>
    <row r="320">
      <c r="A320" s="9" t="s">
        <v>3</v>
      </c>
      <c r="B320" s="24" t="s">
        <v>359</v>
      </c>
      <c r="C320" s="8"/>
      <c r="D320" s="6"/>
    </row>
    <row r="321">
      <c r="A321" s="9" t="s">
        <v>5</v>
      </c>
      <c r="B321" s="26" t="s">
        <v>360</v>
      </c>
      <c r="C321" s="8"/>
      <c r="D321" s="6"/>
    </row>
    <row r="322">
      <c r="A322" s="12" t="s">
        <v>7</v>
      </c>
      <c r="B322" s="13" t="s">
        <v>8</v>
      </c>
      <c r="C322" s="12" t="s">
        <v>361</v>
      </c>
      <c r="D322" s="6"/>
    </row>
    <row r="323">
      <c r="A323" s="14" t="s">
        <v>4</v>
      </c>
      <c r="B323" s="11" t="s">
        <v>362</v>
      </c>
      <c r="C323" s="37">
        <v>2.0</v>
      </c>
      <c r="D323" s="6"/>
    </row>
    <row r="324">
      <c r="A324" s="14" t="s">
        <v>67</v>
      </c>
      <c r="B324" s="11" t="s">
        <v>363</v>
      </c>
      <c r="C324" s="37">
        <v>1.0</v>
      </c>
      <c r="D324" s="6"/>
    </row>
    <row r="325">
      <c r="A325" s="14" t="s">
        <v>10</v>
      </c>
      <c r="B325" s="11" t="s">
        <v>364</v>
      </c>
      <c r="C325" s="37">
        <v>0.5</v>
      </c>
      <c r="D325" s="6"/>
    </row>
    <row r="326">
      <c r="A326" s="19"/>
      <c r="B326" s="19"/>
      <c r="C326" s="38"/>
      <c r="D326" s="6"/>
    </row>
    <row r="327">
      <c r="A327" s="20"/>
      <c r="B327" s="38"/>
      <c r="C327" s="6"/>
      <c r="D327" s="6"/>
    </row>
    <row r="328">
      <c r="A328" s="9" t="s">
        <v>3</v>
      </c>
      <c r="B328" s="10" t="s">
        <v>365</v>
      </c>
      <c r="C328" s="6"/>
      <c r="D328" s="6"/>
    </row>
    <row r="329">
      <c r="A329" s="9" t="s">
        <v>5</v>
      </c>
      <c r="B329" s="11" t="s">
        <v>366</v>
      </c>
      <c r="C329" s="6"/>
      <c r="D329" s="6"/>
    </row>
    <row r="330">
      <c r="A330" s="12" t="s">
        <v>7</v>
      </c>
      <c r="B330" s="13" t="s">
        <v>8</v>
      </c>
      <c r="C330" s="6"/>
      <c r="D330" s="6"/>
    </row>
    <row r="331">
      <c r="A331" s="14" t="s">
        <v>4</v>
      </c>
      <c r="B331" s="10" t="s">
        <v>367</v>
      </c>
      <c r="C331" s="6"/>
      <c r="D331" s="6"/>
    </row>
    <row r="332">
      <c r="A332" s="14" t="s">
        <v>67</v>
      </c>
      <c r="B332" s="10" t="s">
        <v>368</v>
      </c>
      <c r="C332" s="6"/>
      <c r="D332" s="6"/>
    </row>
    <row r="333">
      <c r="A333" s="17"/>
      <c r="B333" s="11"/>
      <c r="C333" s="6"/>
      <c r="D333" s="6"/>
    </row>
    <row r="334">
      <c r="A334" s="6"/>
      <c r="B334" s="6"/>
      <c r="C334" s="6"/>
      <c r="D334" s="6"/>
    </row>
    <row r="335">
      <c r="A335" s="39" t="s">
        <v>3</v>
      </c>
      <c r="B335" s="40" t="s">
        <v>369</v>
      </c>
      <c r="C335" s="6"/>
      <c r="D335" s="6"/>
    </row>
    <row r="336">
      <c r="A336" s="39" t="s">
        <v>5</v>
      </c>
      <c r="B336" s="41" t="s">
        <v>370</v>
      </c>
      <c r="C336" s="6"/>
      <c r="D336" s="6"/>
    </row>
    <row r="337">
      <c r="A337" s="42" t="s">
        <v>371</v>
      </c>
      <c r="B337" s="43" t="s">
        <v>7</v>
      </c>
      <c r="C337" s="43" t="s">
        <v>372</v>
      </c>
      <c r="D337" s="6"/>
    </row>
    <row r="338">
      <c r="A338" s="44" t="s">
        <v>373</v>
      </c>
      <c r="B338" s="41" t="s">
        <v>374</v>
      </c>
      <c r="C338" s="45" t="s">
        <v>375</v>
      </c>
      <c r="D338" s="6"/>
    </row>
    <row r="339">
      <c r="A339" s="44" t="s">
        <v>376</v>
      </c>
      <c r="B339" s="41" t="s">
        <v>377</v>
      </c>
      <c r="C339" s="45" t="s">
        <v>375</v>
      </c>
      <c r="D339" s="6"/>
    </row>
    <row r="340">
      <c r="A340" s="44" t="s">
        <v>378</v>
      </c>
      <c r="B340" s="41" t="s">
        <v>379</v>
      </c>
      <c r="C340" s="45" t="s">
        <v>375</v>
      </c>
      <c r="D340" s="6"/>
    </row>
    <row r="341">
      <c r="A341" s="44" t="s">
        <v>380</v>
      </c>
      <c r="B341" s="41" t="s">
        <v>381</v>
      </c>
      <c r="C341" s="45" t="s">
        <v>375</v>
      </c>
      <c r="D341" s="6"/>
    </row>
    <row r="342">
      <c r="A342" s="44" t="s">
        <v>382</v>
      </c>
      <c r="B342" s="41" t="s">
        <v>383</v>
      </c>
      <c r="C342" s="45" t="s">
        <v>375</v>
      </c>
      <c r="D342" s="6"/>
    </row>
    <row r="343">
      <c r="A343" s="44" t="s">
        <v>384</v>
      </c>
      <c r="B343" s="41" t="s">
        <v>385</v>
      </c>
      <c r="C343" s="45" t="s">
        <v>375</v>
      </c>
      <c r="D343" s="6"/>
    </row>
    <row r="344">
      <c r="A344" s="44" t="s">
        <v>386</v>
      </c>
      <c r="B344" s="41" t="s">
        <v>387</v>
      </c>
      <c r="C344" s="45" t="s">
        <v>375</v>
      </c>
      <c r="D344" s="6"/>
    </row>
    <row r="345">
      <c r="A345" s="44" t="s">
        <v>388</v>
      </c>
      <c r="B345" s="41" t="s">
        <v>389</v>
      </c>
      <c r="C345" s="45" t="s">
        <v>375</v>
      </c>
      <c r="D345" s="6"/>
    </row>
    <row r="346">
      <c r="A346" s="44" t="s">
        <v>390</v>
      </c>
      <c r="B346" s="41" t="s">
        <v>391</v>
      </c>
      <c r="C346" s="45" t="s">
        <v>375</v>
      </c>
      <c r="D346" s="6"/>
    </row>
    <row r="347">
      <c r="A347" s="44" t="s">
        <v>392</v>
      </c>
      <c r="B347" s="41" t="s">
        <v>393</v>
      </c>
      <c r="C347" s="45" t="s">
        <v>375</v>
      </c>
      <c r="D347" s="6"/>
    </row>
    <row r="348">
      <c r="A348" s="44" t="s">
        <v>394</v>
      </c>
      <c r="B348" s="41" t="s">
        <v>395</v>
      </c>
      <c r="C348" s="46" t="s">
        <v>375</v>
      </c>
      <c r="D348" s="6"/>
    </row>
    <row r="349">
      <c r="A349" s="44" t="s">
        <v>396</v>
      </c>
      <c r="B349" s="41" t="s">
        <v>397</v>
      </c>
      <c r="C349" s="47" t="s">
        <v>375</v>
      </c>
      <c r="D349" s="6"/>
    </row>
    <row r="350">
      <c r="A350" s="48" t="s">
        <v>398</v>
      </c>
      <c r="B350" s="41" t="s">
        <v>399</v>
      </c>
      <c r="C350" s="46" t="s">
        <v>375</v>
      </c>
      <c r="D350" s="6"/>
    </row>
    <row r="351">
      <c r="A351" s="48" t="s">
        <v>400</v>
      </c>
      <c r="B351" s="41" t="s">
        <v>401</v>
      </c>
      <c r="C351" s="46" t="s">
        <v>375</v>
      </c>
      <c r="D351" s="6"/>
    </row>
    <row r="352">
      <c r="A352" s="48" t="s">
        <v>402</v>
      </c>
      <c r="B352" s="41" t="s">
        <v>403</v>
      </c>
      <c r="C352" s="46" t="s">
        <v>375</v>
      </c>
      <c r="D352" s="6"/>
    </row>
    <row r="353">
      <c r="A353" s="48" t="s">
        <v>404</v>
      </c>
      <c r="B353" s="41" t="s">
        <v>405</v>
      </c>
      <c r="C353" s="46" t="s">
        <v>375</v>
      </c>
      <c r="D353" s="6"/>
    </row>
    <row r="354">
      <c r="A354" s="48" t="s">
        <v>406</v>
      </c>
      <c r="B354" s="41" t="s">
        <v>407</v>
      </c>
      <c r="C354" s="46" t="s">
        <v>375</v>
      </c>
      <c r="D354" s="6"/>
    </row>
    <row r="355">
      <c r="A355" s="48" t="s">
        <v>408</v>
      </c>
      <c r="B355" s="41" t="s">
        <v>409</v>
      </c>
      <c r="C355" s="46" t="s">
        <v>375</v>
      </c>
      <c r="D355" s="6"/>
    </row>
    <row r="356">
      <c r="A356" s="48" t="s">
        <v>410</v>
      </c>
      <c r="B356" s="41" t="s">
        <v>411</v>
      </c>
      <c r="C356" s="46" t="s">
        <v>375</v>
      </c>
      <c r="D356" s="6"/>
    </row>
    <row r="357">
      <c r="A357" s="48" t="s">
        <v>412</v>
      </c>
      <c r="B357" s="41" t="s">
        <v>413</v>
      </c>
      <c r="C357" s="46" t="s">
        <v>375</v>
      </c>
      <c r="D357" s="6"/>
    </row>
    <row r="358">
      <c r="A358" s="48" t="s">
        <v>414</v>
      </c>
      <c r="B358" s="41" t="s">
        <v>415</v>
      </c>
      <c r="C358" s="46" t="s">
        <v>375</v>
      </c>
      <c r="D358" s="6"/>
    </row>
    <row r="359">
      <c r="A359" s="48" t="s">
        <v>416</v>
      </c>
      <c r="B359" s="41" t="s">
        <v>417</v>
      </c>
      <c r="C359" s="46" t="s">
        <v>418</v>
      </c>
      <c r="D359" s="6"/>
    </row>
    <row r="360">
      <c r="A360" s="48" t="s">
        <v>419</v>
      </c>
      <c r="B360" s="41" t="s">
        <v>420</v>
      </c>
      <c r="C360" s="46" t="s">
        <v>418</v>
      </c>
      <c r="D360" s="6"/>
    </row>
    <row r="361">
      <c r="A361" s="48" t="s">
        <v>421</v>
      </c>
      <c r="B361" s="41" t="s">
        <v>422</v>
      </c>
      <c r="C361" s="46" t="s">
        <v>418</v>
      </c>
      <c r="D361" s="6"/>
    </row>
    <row r="362">
      <c r="A362" s="48" t="s">
        <v>423</v>
      </c>
      <c r="B362" s="41" t="s">
        <v>424</v>
      </c>
      <c r="C362" s="46" t="s">
        <v>418</v>
      </c>
      <c r="D362" s="6"/>
    </row>
    <row r="363">
      <c r="A363" s="48" t="s">
        <v>425</v>
      </c>
      <c r="B363" s="41" t="s">
        <v>426</v>
      </c>
      <c r="C363" s="46" t="s">
        <v>418</v>
      </c>
      <c r="D363" s="6"/>
    </row>
    <row r="364">
      <c r="A364" s="48" t="s">
        <v>427</v>
      </c>
      <c r="B364" s="41" t="s">
        <v>428</v>
      </c>
      <c r="C364" s="46" t="s">
        <v>418</v>
      </c>
      <c r="D364" s="6"/>
    </row>
    <row r="365">
      <c r="A365" s="48" t="s">
        <v>429</v>
      </c>
      <c r="B365" s="41" t="s">
        <v>430</v>
      </c>
      <c r="C365" s="46" t="s">
        <v>418</v>
      </c>
      <c r="D365" s="6"/>
    </row>
    <row r="366">
      <c r="A366" s="48" t="s">
        <v>431</v>
      </c>
      <c r="B366" s="49" t="s">
        <v>432</v>
      </c>
      <c r="C366" s="44" t="s">
        <v>433</v>
      </c>
      <c r="D366" s="6"/>
    </row>
    <row r="367">
      <c r="A367" s="48" t="s">
        <v>434</v>
      </c>
      <c r="B367" s="49" t="s">
        <v>435</v>
      </c>
      <c r="C367" s="44" t="s">
        <v>433</v>
      </c>
      <c r="D367" s="6"/>
    </row>
    <row r="368">
      <c r="A368" s="48" t="s">
        <v>436</v>
      </c>
      <c r="B368" s="49" t="s">
        <v>437</v>
      </c>
      <c r="C368" s="44" t="s">
        <v>433</v>
      </c>
      <c r="D368" s="6"/>
    </row>
    <row r="369">
      <c r="A369" s="48" t="s">
        <v>438</v>
      </c>
      <c r="B369" s="49" t="s">
        <v>439</v>
      </c>
      <c r="C369" s="44" t="s">
        <v>433</v>
      </c>
      <c r="D369" s="6"/>
    </row>
    <row r="370">
      <c r="A370" s="48" t="s">
        <v>440</v>
      </c>
      <c r="B370" s="49" t="s">
        <v>441</v>
      </c>
      <c r="C370" s="44" t="s">
        <v>433</v>
      </c>
      <c r="D370" s="6"/>
    </row>
    <row r="371">
      <c r="A371" s="48" t="s">
        <v>442</v>
      </c>
      <c r="B371" s="49" t="s">
        <v>443</v>
      </c>
      <c r="C371" s="44" t="s">
        <v>433</v>
      </c>
      <c r="D371" s="6"/>
    </row>
    <row r="372">
      <c r="A372" s="48" t="s">
        <v>444</v>
      </c>
      <c r="B372" s="41" t="s">
        <v>445</v>
      </c>
      <c r="C372" s="44" t="s">
        <v>433</v>
      </c>
      <c r="D372" s="6"/>
    </row>
    <row r="373">
      <c r="A373" s="48" t="s">
        <v>446</v>
      </c>
      <c r="B373" s="41" t="s">
        <v>447</v>
      </c>
      <c r="C373" s="44" t="s">
        <v>433</v>
      </c>
      <c r="D373" s="6"/>
    </row>
    <row r="374">
      <c r="A374" s="48" t="s">
        <v>448</v>
      </c>
      <c r="B374" s="41" t="s">
        <v>449</v>
      </c>
      <c r="C374" s="44" t="s">
        <v>433</v>
      </c>
      <c r="D374" s="6"/>
    </row>
    <row r="375">
      <c r="A375" s="48" t="s">
        <v>450</v>
      </c>
      <c r="B375" s="41" t="s">
        <v>451</v>
      </c>
      <c r="C375" s="44" t="s">
        <v>433</v>
      </c>
      <c r="D375" s="6"/>
    </row>
    <row r="376">
      <c r="A376" s="48" t="s">
        <v>452</v>
      </c>
      <c r="B376" s="41" t="s">
        <v>453</v>
      </c>
      <c r="C376" s="44" t="s">
        <v>433</v>
      </c>
      <c r="D376" s="6"/>
    </row>
    <row r="377">
      <c r="A377" s="48" t="s">
        <v>454</v>
      </c>
      <c r="B377" s="41" t="s">
        <v>455</v>
      </c>
      <c r="C377" s="44" t="s">
        <v>433</v>
      </c>
      <c r="D377" s="6"/>
    </row>
    <row r="378">
      <c r="A378" s="48" t="s">
        <v>456</v>
      </c>
      <c r="B378" s="41" t="s">
        <v>457</v>
      </c>
      <c r="C378" s="44" t="s">
        <v>433</v>
      </c>
      <c r="D378" s="6"/>
    </row>
    <row r="379">
      <c r="A379" s="48" t="s">
        <v>458</v>
      </c>
      <c r="B379" s="41" t="s">
        <v>459</v>
      </c>
      <c r="C379" s="44" t="s">
        <v>433</v>
      </c>
      <c r="D379" s="6"/>
    </row>
    <row r="380">
      <c r="A380" s="44" t="s">
        <v>460</v>
      </c>
      <c r="B380" s="41" t="s">
        <v>461</v>
      </c>
      <c r="C380" s="44" t="s">
        <v>433</v>
      </c>
      <c r="D380" s="6"/>
    </row>
    <row r="381">
      <c r="A381" s="44" t="s">
        <v>462</v>
      </c>
      <c r="B381" s="41" t="s">
        <v>463</v>
      </c>
      <c r="C381" s="44" t="s">
        <v>433</v>
      </c>
      <c r="D381" s="6"/>
    </row>
    <row r="382">
      <c r="A382" s="44" t="s">
        <v>464</v>
      </c>
      <c r="B382" s="41" t="s">
        <v>465</v>
      </c>
      <c r="C382" s="44" t="s">
        <v>433</v>
      </c>
      <c r="D382" s="6"/>
    </row>
    <row r="383">
      <c r="A383" s="44" t="s">
        <v>466</v>
      </c>
      <c r="B383" s="41" t="s">
        <v>467</v>
      </c>
      <c r="C383" s="44" t="s">
        <v>433</v>
      </c>
      <c r="D383" s="6"/>
    </row>
    <row r="384">
      <c r="A384" s="48" t="s">
        <v>468</v>
      </c>
      <c r="B384" s="41" t="s">
        <v>469</v>
      </c>
      <c r="C384" s="44" t="s">
        <v>433</v>
      </c>
      <c r="D384" s="6"/>
    </row>
    <row r="385">
      <c r="A385" s="48" t="s">
        <v>470</v>
      </c>
      <c r="B385" s="41" t="s">
        <v>471</v>
      </c>
      <c r="C385" s="44" t="s">
        <v>433</v>
      </c>
      <c r="D385" s="6"/>
    </row>
    <row r="386">
      <c r="A386" s="48" t="s">
        <v>472</v>
      </c>
      <c r="B386" s="41" t="s">
        <v>473</v>
      </c>
      <c r="C386" s="44" t="s">
        <v>433</v>
      </c>
      <c r="D386" s="6"/>
    </row>
    <row r="387">
      <c r="A387" s="50"/>
      <c r="B387" s="6"/>
      <c r="C387" s="6"/>
      <c r="D387" s="6"/>
    </row>
    <row r="388">
      <c r="A388" s="50"/>
      <c r="B388" s="6"/>
      <c r="C388" s="6"/>
      <c r="D388" s="6"/>
    </row>
    <row r="389">
      <c r="A389" s="51" t="s">
        <v>3</v>
      </c>
      <c r="B389" s="10" t="s">
        <v>474</v>
      </c>
      <c r="C389" s="6"/>
      <c r="D389" s="6"/>
    </row>
    <row r="390">
      <c r="A390" s="51" t="s">
        <v>5</v>
      </c>
      <c r="B390" s="11" t="s">
        <v>475</v>
      </c>
      <c r="C390" s="6"/>
      <c r="D390" s="6"/>
    </row>
    <row r="391">
      <c r="A391" s="52" t="s">
        <v>7</v>
      </c>
      <c r="B391" s="13" t="s">
        <v>8</v>
      </c>
      <c r="C391" s="6"/>
      <c r="D391" s="6"/>
    </row>
    <row r="392">
      <c r="A392" s="21" t="s">
        <v>476</v>
      </c>
      <c r="B392" s="8"/>
      <c r="C392" s="6"/>
      <c r="D392" s="6"/>
    </row>
    <row r="393">
      <c r="A393" s="53" t="s">
        <v>477</v>
      </c>
      <c r="B393" s="8"/>
      <c r="C393" s="6"/>
      <c r="D393" s="6"/>
    </row>
    <row r="394">
      <c r="A394" s="54"/>
      <c r="B394" s="20"/>
      <c r="C394" s="6"/>
      <c r="D394" s="6"/>
    </row>
    <row r="395">
      <c r="A395" s="51" t="s">
        <v>3</v>
      </c>
      <c r="B395" s="10" t="s">
        <v>478</v>
      </c>
      <c r="C395" s="6"/>
      <c r="D395" s="6"/>
    </row>
    <row r="396">
      <c r="A396" s="51" t="s">
        <v>5</v>
      </c>
      <c r="B396" s="11" t="s">
        <v>479</v>
      </c>
      <c r="C396" s="6"/>
      <c r="D396" s="6"/>
    </row>
    <row r="397">
      <c r="A397" s="12" t="s">
        <v>7</v>
      </c>
      <c r="B397" s="13" t="s">
        <v>8</v>
      </c>
      <c r="C397" s="6"/>
      <c r="D397" s="6"/>
    </row>
    <row r="398">
      <c r="A398" s="6">
        <v>0.0</v>
      </c>
      <c r="B398" s="55" t="s">
        <v>480</v>
      </c>
      <c r="C398" s="6"/>
      <c r="D398" s="6"/>
    </row>
    <row r="399">
      <c r="A399" s="6">
        <v>1.0</v>
      </c>
      <c r="B399" s="55" t="s">
        <v>481</v>
      </c>
      <c r="C399" s="6"/>
      <c r="D399" s="6"/>
    </row>
    <row r="400">
      <c r="A400" s="6">
        <v>2.0</v>
      </c>
      <c r="B400" s="56" t="s">
        <v>482</v>
      </c>
      <c r="C400" s="6"/>
      <c r="D400" s="6"/>
    </row>
    <row r="401">
      <c r="A401" s="6"/>
      <c r="B401" s="6"/>
      <c r="C401" s="6"/>
      <c r="D401" s="6"/>
    </row>
    <row r="402">
      <c r="A402" s="9" t="s">
        <v>3</v>
      </c>
      <c r="B402" s="11">
        <v>27.0</v>
      </c>
      <c r="C402" s="6"/>
      <c r="D402" s="6"/>
    </row>
    <row r="403">
      <c r="A403" s="9" t="s">
        <v>5</v>
      </c>
      <c r="B403" s="11" t="s">
        <v>483</v>
      </c>
      <c r="C403" s="6"/>
      <c r="D403" s="6"/>
    </row>
    <row r="404">
      <c r="A404" s="12" t="s">
        <v>7</v>
      </c>
      <c r="B404" s="13" t="s">
        <v>8</v>
      </c>
      <c r="C404" s="6"/>
      <c r="D404" s="6"/>
    </row>
    <row r="405">
      <c r="A405" s="6">
        <v>0.0</v>
      </c>
      <c r="B405" s="55" t="s">
        <v>484</v>
      </c>
      <c r="C405" s="6"/>
      <c r="D405" s="6"/>
    </row>
    <row r="406">
      <c r="A406" s="6">
        <v>1.0</v>
      </c>
      <c r="B406" s="55" t="s">
        <v>485</v>
      </c>
      <c r="C406" s="6"/>
      <c r="D406" s="6"/>
    </row>
    <row r="407">
      <c r="A407" s="6">
        <v>2.0</v>
      </c>
      <c r="B407" s="55" t="s">
        <v>486</v>
      </c>
      <c r="C407" s="6"/>
      <c r="D407" s="6"/>
    </row>
    <row r="408">
      <c r="A408" s="6">
        <v>3.0</v>
      </c>
      <c r="B408" s="56" t="s">
        <v>487</v>
      </c>
      <c r="C408" s="6"/>
      <c r="D408" s="6"/>
    </row>
    <row r="409">
      <c r="A409" s="20"/>
      <c r="B409" s="20"/>
      <c r="C409" s="6"/>
      <c r="D409" s="6"/>
    </row>
    <row r="410">
      <c r="A410" s="9" t="s">
        <v>3</v>
      </c>
      <c r="B410" s="11">
        <v>51.0</v>
      </c>
      <c r="C410" s="6"/>
      <c r="D410" s="6"/>
    </row>
    <row r="411">
      <c r="A411" s="9" t="s">
        <v>5</v>
      </c>
      <c r="B411" s="11" t="s">
        <v>488</v>
      </c>
      <c r="C411" s="6"/>
      <c r="D411" s="6"/>
    </row>
    <row r="412">
      <c r="A412" s="57" t="s">
        <v>7</v>
      </c>
      <c r="B412" s="57" t="s">
        <v>8</v>
      </c>
      <c r="C412" s="58" t="s">
        <v>489</v>
      </c>
      <c r="D412" s="6"/>
    </row>
    <row r="413">
      <c r="A413" s="59" t="s">
        <v>490</v>
      </c>
      <c r="B413" s="11" t="s">
        <v>491</v>
      </c>
      <c r="C413" s="17" t="s">
        <v>492</v>
      </c>
      <c r="D413" s="6"/>
    </row>
    <row r="414">
      <c r="A414" s="59" t="s">
        <v>493</v>
      </c>
      <c r="B414" s="11" t="s">
        <v>494</v>
      </c>
      <c r="C414" s="17" t="s">
        <v>495</v>
      </c>
      <c r="D414" s="6"/>
    </row>
    <row r="415">
      <c r="A415" s="59" t="s">
        <v>496</v>
      </c>
      <c r="B415" s="11" t="s">
        <v>497</v>
      </c>
      <c r="C415" s="17" t="s">
        <v>498</v>
      </c>
      <c r="D415" s="6"/>
    </row>
    <row r="416">
      <c r="A416" s="60" t="s">
        <v>499</v>
      </c>
      <c r="B416" s="56" t="s">
        <v>500</v>
      </c>
      <c r="C416" s="6" t="s">
        <v>492</v>
      </c>
      <c r="D416" s="6"/>
    </row>
    <row r="417">
      <c r="A417" s="59" t="s">
        <v>501</v>
      </c>
      <c r="B417" s="11" t="s">
        <v>502</v>
      </c>
      <c r="C417" s="17" t="s">
        <v>492</v>
      </c>
      <c r="D417" s="6"/>
    </row>
    <row r="418">
      <c r="A418" s="59" t="s">
        <v>503</v>
      </c>
      <c r="B418" s="11" t="s">
        <v>504</v>
      </c>
      <c r="C418" s="17" t="s">
        <v>9</v>
      </c>
      <c r="D418" s="6"/>
    </row>
    <row r="419">
      <c r="A419" s="59" t="s">
        <v>505</v>
      </c>
      <c r="B419" s="11" t="s">
        <v>506</v>
      </c>
      <c r="C419" s="17" t="s">
        <v>492</v>
      </c>
      <c r="D419" s="6"/>
    </row>
    <row r="420">
      <c r="A420" s="59" t="s">
        <v>507</v>
      </c>
      <c r="B420" s="11" t="s">
        <v>508</v>
      </c>
      <c r="C420" s="17" t="s">
        <v>492</v>
      </c>
      <c r="D420" s="6"/>
    </row>
    <row r="421">
      <c r="A421" s="59" t="s">
        <v>509</v>
      </c>
      <c r="B421" s="11" t="s">
        <v>510</v>
      </c>
      <c r="C421" s="17" t="s">
        <v>9</v>
      </c>
      <c r="D421" s="6"/>
    </row>
    <row r="422">
      <c r="A422" s="59" t="s">
        <v>511</v>
      </c>
      <c r="B422" s="11" t="s">
        <v>512</v>
      </c>
      <c r="C422" s="17" t="s">
        <v>492</v>
      </c>
      <c r="D422" s="6"/>
    </row>
    <row r="423">
      <c r="A423" s="60" t="s">
        <v>513</v>
      </c>
      <c r="B423" s="56" t="s">
        <v>514</v>
      </c>
      <c r="C423" s="6" t="s">
        <v>492</v>
      </c>
      <c r="D423" s="6"/>
    </row>
    <row r="424">
      <c r="A424" s="60" t="s">
        <v>515</v>
      </c>
      <c r="B424" s="56" t="s">
        <v>516</v>
      </c>
      <c r="C424" s="6" t="s">
        <v>492</v>
      </c>
      <c r="D424" s="6"/>
    </row>
    <row r="425">
      <c r="A425" s="60" t="s">
        <v>517</v>
      </c>
      <c r="B425" s="56" t="s">
        <v>518</v>
      </c>
      <c r="C425" s="6" t="s">
        <v>492</v>
      </c>
      <c r="D425" s="6"/>
    </row>
    <row r="426">
      <c r="A426" s="60" t="s">
        <v>519</v>
      </c>
      <c r="B426" s="56" t="s">
        <v>520</v>
      </c>
      <c r="C426" s="6" t="s">
        <v>492</v>
      </c>
      <c r="D426" s="6"/>
    </row>
    <row r="427">
      <c r="A427" s="59" t="s">
        <v>521</v>
      </c>
      <c r="B427" s="11" t="s">
        <v>522</v>
      </c>
      <c r="C427" s="17" t="s">
        <v>492</v>
      </c>
      <c r="D427" s="6"/>
    </row>
    <row r="428">
      <c r="A428" s="59" t="s">
        <v>523</v>
      </c>
      <c r="B428" s="11" t="s">
        <v>524</v>
      </c>
      <c r="C428" s="61" t="s">
        <v>13</v>
      </c>
      <c r="D428" s="6"/>
    </row>
    <row r="429">
      <c r="A429" s="59" t="s">
        <v>525</v>
      </c>
      <c r="B429" s="11" t="s">
        <v>526</v>
      </c>
      <c r="C429" s="61" t="s">
        <v>13</v>
      </c>
      <c r="D429" s="6"/>
    </row>
    <row r="430">
      <c r="A430" s="59" t="s">
        <v>527</v>
      </c>
      <c r="B430" s="11" t="s">
        <v>528</v>
      </c>
      <c r="C430" s="61" t="s">
        <v>13</v>
      </c>
      <c r="D430" s="6"/>
    </row>
    <row r="431">
      <c r="A431" s="59" t="s">
        <v>209</v>
      </c>
      <c r="B431" s="11" t="s">
        <v>529</v>
      </c>
      <c r="C431" s="17" t="s">
        <v>492</v>
      </c>
      <c r="D431" s="6"/>
    </row>
    <row r="432">
      <c r="A432" s="60" t="s">
        <v>211</v>
      </c>
      <c r="B432" s="56" t="s">
        <v>530</v>
      </c>
      <c r="C432" s="6" t="s">
        <v>492</v>
      </c>
      <c r="D432" s="6"/>
    </row>
    <row r="433">
      <c r="A433" s="60" t="s">
        <v>213</v>
      </c>
      <c r="B433" s="56" t="s">
        <v>531</v>
      </c>
      <c r="C433" s="6" t="s">
        <v>492</v>
      </c>
      <c r="D433" s="6"/>
    </row>
    <row r="434">
      <c r="A434" s="60" t="s">
        <v>215</v>
      </c>
      <c r="B434" s="56" t="s">
        <v>532</v>
      </c>
      <c r="C434" s="6" t="s">
        <v>492</v>
      </c>
      <c r="D434" s="6"/>
    </row>
    <row r="435">
      <c r="A435" s="60" t="s">
        <v>219</v>
      </c>
      <c r="B435" s="56" t="s">
        <v>533</v>
      </c>
      <c r="C435" s="6" t="s">
        <v>492</v>
      </c>
      <c r="D435" s="6"/>
    </row>
    <row r="436">
      <c r="A436" s="62" t="s">
        <v>221</v>
      </c>
      <c r="B436" s="28" t="s">
        <v>534</v>
      </c>
      <c r="C436" s="27" t="s">
        <v>9</v>
      </c>
      <c r="D436" s="6"/>
    </row>
    <row r="437">
      <c r="A437" s="59" t="s">
        <v>535</v>
      </c>
      <c r="B437" s="11" t="s">
        <v>536</v>
      </c>
      <c r="C437" s="17" t="s">
        <v>492</v>
      </c>
      <c r="D437" s="6"/>
    </row>
    <row r="438">
      <c r="A438" s="59" t="s">
        <v>537</v>
      </c>
      <c r="B438" s="11" t="s">
        <v>538</v>
      </c>
      <c r="C438" s="17" t="s">
        <v>492</v>
      </c>
      <c r="D438" s="6"/>
    </row>
    <row r="439">
      <c r="A439" s="59" t="s">
        <v>539</v>
      </c>
      <c r="B439" s="11" t="s">
        <v>540</v>
      </c>
      <c r="C439" s="17" t="s">
        <v>492</v>
      </c>
      <c r="D439" s="6"/>
    </row>
    <row r="440">
      <c r="A440" s="59" t="s">
        <v>541</v>
      </c>
      <c r="B440" s="11" t="s">
        <v>542</v>
      </c>
      <c r="C440" s="17" t="s">
        <v>492</v>
      </c>
      <c r="D440" s="6"/>
    </row>
    <row r="441">
      <c r="A441" s="59" t="s">
        <v>543</v>
      </c>
      <c r="B441" s="11" t="s">
        <v>544</v>
      </c>
      <c r="C441" s="17" t="s">
        <v>492</v>
      </c>
      <c r="D441" s="63"/>
    </row>
    <row r="442">
      <c r="A442" s="62" t="s">
        <v>545</v>
      </c>
      <c r="B442" s="28" t="s">
        <v>546</v>
      </c>
      <c r="C442" s="27" t="s">
        <v>498</v>
      </c>
      <c r="D442" s="63"/>
    </row>
    <row r="443">
      <c r="A443" s="62" t="s">
        <v>547</v>
      </c>
      <c r="B443" s="28" t="s">
        <v>548</v>
      </c>
      <c r="C443" s="27" t="s">
        <v>9</v>
      </c>
      <c r="D443" s="63"/>
    </row>
    <row r="444">
      <c r="A444" s="54"/>
      <c r="B444" s="20"/>
      <c r="C444" s="6"/>
      <c r="D444" s="6"/>
    </row>
    <row r="445">
      <c r="A445" s="51" t="s">
        <v>3</v>
      </c>
      <c r="B445" s="11">
        <v>52.0</v>
      </c>
      <c r="C445" s="6"/>
      <c r="D445" s="6"/>
    </row>
    <row r="446">
      <c r="A446" s="51" t="s">
        <v>5</v>
      </c>
      <c r="B446" s="11" t="s">
        <v>549</v>
      </c>
      <c r="C446" s="6"/>
      <c r="D446" s="6"/>
    </row>
    <row r="447">
      <c r="A447" s="52" t="s">
        <v>7</v>
      </c>
      <c r="B447" s="13" t="s">
        <v>8</v>
      </c>
      <c r="C447" s="6"/>
      <c r="D447" s="6"/>
    </row>
    <row r="448">
      <c r="A448" s="59">
        <v>1000.0</v>
      </c>
      <c r="B448" s="34" t="s">
        <v>231</v>
      </c>
      <c r="C448" s="6"/>
      <c r="D448" s="6"/>
    </row>
    <row r="449">
      <c r="A449" s="59">
        <v>1002.0</v>
      </c>
      <c r="B449" s="64" t="s">
        <v>232</v>
      </c>
      <c r="C449" s="6"/>
      <c r="D449" s="6"/>
    </row>
    <row r="450">
      <c r="A450" s="59">
        <v>2000.0</v>
      </c>
      <c r="B450" s="34" t="s">
        <v>233</v>
      </c>
      <c r="C450" s="6"/>
      <c r="D450" s="6"/>
    </row>
    <row r="451">
      <c r="A451" s="59">
        <v>2001.0</v>
      </c>
      <c r="B451" s="11" t="s">
        <v>550</v>
      </c>
      <c r="C451" s="6"/>
      <c r="D451" s="6"/>
    </row>
    <row r="452">
      <c r="A452" s="59">
        <v>2002.0</v>
      </c>
      <c r="B452" s="11" t="s">
        <v>235</v>
      </c>
      <c r="C452" s="6"/>
      <c r="D452" s="6"/>
    </row>
    <row r="453">
      <c r="A453" s="59">
        <v>2003.0</v>
      </c>
      <c r="B453" s="64" t="s">
        <v>236</v>
      </c>
      <c r="C453" s="6"/>
      <c r="D453" s="6"/>
    </row>
    <row r="454">
      <c r="A454" s="59">
        <v>2004.0</v>
      </c>
      <c r="B454" s="34" t="s">
        <v>237</v>
      </c>
      <c r="C454" s="6"/>
      <c r="D454" s="6"/>
    </row>
    <row r="455">
      <c r="A455" s="59">
        <v>2005.0</v>
      </c>
      <c r="B455" s="34" t="s">
        <v>238</v>
      </c>
      <c r="C455" s="6"/>
      <c r="D455" s="6"/>
    </row>
    <row r="456">
      <c r="A456" s="59">
        <v>2006.0</v>
      </c>
      <c r="B456" s="65" t="s">
        <v>551</v>
      </c>
      <c r="C456" s="6"/>
      <c r="D456" s="6"/>
    </row>
    <row r="457">
      <c r="A457" s="59" t="s">
        <v>552</v>
      </c>
      <c r="B457" s="65" t="s">
        <v>553</v>
      </c>
      <c r="C457" s="6"/>
      <c r="D457" s="6"/>
    </row>
    <row r="458">
      <c r="A458" s="59">
        <v>2008.0</v>
      </c>
      <c r="B458" s="11" t="s">
        <v>554</v>
      </c>
      <c r="C458" s="6"/>
      <c r="D458" s="6"/>
    </row>
    <row r="459">
      <c r="A459" s="59">
        <v>2009.0</v>
      </c>
      <c r="B459" s="11" t="s">
        <v>555</v>
      </c>
      <c r="C459" s="6"/>
      <c r="D459" s="6"/>
    </row>
    <row r="460">
      <c r="A460" s="59" t="s">
        <v>556</v>
      </c>
      <c r="B460" s="11" t="s">
        <v>557</v>
      </c>
      <c r="C460" s="6"/>
      <c r="D460" s="6"/>
    </row>
    <row r="461">
      <c r="A461" s="59" t="s">
        <v>558</v>
      </c>
      <c r="B461" s="11" t="s">
        <v>559</v>
      </c>
      <c r="C461" s="6"/>
      <c r="D461" s="6"/>
    </row>
    <row r="462">
      <c r="A462" s="54"/>
      <c r="B462" s="20"/>
      <c r="C462" s="6"/>
      <c r="D462" s="6"/>
    </row>
    <row r="463">
      <c r="A463" s="51" t="s">
        <v>3</v>
      </c>
      <c r="B463" s="11">
        <v>53.0</v>
      </c>
      <c r="C463" s="6"/>
      <c r="D463" s="6"/>
    </row>
    <row r="464">
      <c r="A464" s="51" t="s">
        <v>5</v>
      </c>
      <c r="B464" s="11" t="s">
        <v>560</v>
      </c>
      <c r="C464" s="6"/>
      <c r="D464" s="6"/>
    </row>
    <row r="465">
      <c r="A465" s="52" t="s">
        <v>7</v>
      </c>
      <c r="B465" s="13" t="s">
        <v>8</v>
      </c>
      <c r="C465" s="13" t="s">
        <v>561</v>
      </c>
      <c r="D465" s="6"/>
    </row>
    <row r="466">
      <c r="A466" s="59" t="s">
        <v>562</v>
      </c>
      <c r="B466" s="11" t="s">
        <v>563</v>
      </c>
      <c r="C466" s="17" t="s">
        <v>564</v>
      </c>
      <c r="D466" s="6"/>
    </row>
    <row r="467">
      <c r="A467" s="59" t="s">
        <v>4</v>
      </c>
      <c r="B467" s="11" t="s">
        <v>565</v>
      </c>
      <c r="C467" s="17" t="s">
        <v>564</v>
      </c>
      <c r="D467" s="6"/>
    </row>
    <row r="468">
      <c r="A468" s="59" t="s">
        <v>67</v>
      </c>
      <c r="B468" s="11" t="s">
        <v>566</v>
      </c>
      <c r="C468" s="17" t="s">
        <v>567</v>
      </c>
      <c r="D468" s="6"/>
    </row>
    <row r="469">
      <c r="A469" s="59" t="s">
        <v>10</v>
      </c>
      <c r="B469" s="11" t="s">
        <v>568</v>
      </c>
      <c r="C469" s="17" t="s">
        <v>567</v>
      </c>
      <c r="D469" s="6"/>
    </row>
    <row r="470">
      <c r="A470" s="66" t="s">
        <v>12</v>
      </c>
      <c r="B470" s="11" t="s">
        <v>569</v>
      </c>
      <c r="C470" s="17" t="s">
        <v>567</v>
      </c>
      <c r="D470" s="6"/>
    </row>
    <row r="471">
      <c r="A471" s="66" t="s">
        <v>14</v>
      </c>
      <c r="B471" s="11" t="s">
        <v>570</v>
      </c>
      <c r="C471" s="17" t="s">
        <v>567</v>
      </c>
      <c r="D471" s="6"/>
    </row>
    <row r="472">
      <c r="A472" s="66" t="s">
        <v>16</v>
      </c>
      <c r="B472" s="11" t="s">
        <v>571</v>
      </c>
      <c r="C472" s="17" t="s">
        <v>567</v>
      </c>
      <c r="D472" s="6"/>
    </row>
    <row r="473">
      <c r="A473" s="66" t="s">
        <v>18</v>
      </c>
      <c r="B473" s="11" t="s">
        <v>572</v>
      </c>
      <c r="C473" s="17" t="s">
        <v>564</v>
      </c>
      <c r="D473" s="6"/>
    </row>
    <row r="474">
      <c r="A474" s="62">
        <v>20.0</v>
      </c>
      <c r="B474" s="28" t="s">
        <v>573</v>
      </c>
      <c r="C474" s="27" t="s">
        <v>567</v>
      </c>
      <c r="D474" s="6"/>
    </row>
    <row r="475">
      <c r="A475" s="59" t="s">
        <v>574</v>
      </c>
      <c r="B475" s="11" t="s">
        <v>575</v>
      </c>
      <c r="C475" s="17" t="s">
        <v>567</v>
      </c>
      <c r="D475" s="6"/>
    </row>
    <row r="476">
      <c r="A476" s="59" t="s">
        <v>576</v>
      </c>
      <c r="B476" s="11" t="s">
        <v>577</v>
      </c>
      <c r="C476" s="17" t="s">
        <v>567</v>
      </c>
      <c r="D476" s="6"/>
    </row>
    <row r="477">
      <c r="A477" s="59" t="s">
        <v>578</v>
      </c>
      <c r="B477" s="11" t="s">
        <v>579</v>
      </c>
      <c r="C477" s="17" t="s">
        <v>564</v>
      </c>
      <c r="D477" s="6"/>
    </row>
    <row r="478">
      <c r="A478" s="59" t="s">
        <v>580</v>
      </c>
      <c r="B478" s="11" t="s">
        <v>581</v>
      </c>
      <c r="C478" s="17" t="s">
        <v>564</v>
      </c>
      <c r="D478" s="6"/>
    </row>
    <row r="479">
      <c r="A479" s="59" t="s">
        <v>582</v>
      </c>
      <c r="B479" s="11" t="s">
        <v>583</v>
      </c>
      <c r="C479" s="17" t="s">
        <v>567</v>
      </c>
      <c r="D479" s="6"/>
    </row>
    <row r="480">
      <c r="A480" s="59">
        <v>50.0</v>
      </c>
      <c r="B480" s="11" t="s">
        <v>584</v>
      </c>
      <c r="C480" s="17" t="s">
        <v>567</v>
      </c>
      <c r="D480" s="6"/>
    </row>
    <row r="481">
      <c r="A481" s="59">
        <v>51.0</v>
      </c>
      <c r="B481" s="11" t="s">
        <v>585</v>
      </c>
      <c r="C481" s="17" t="s">
        <v>567</v>
      </c>
      <c r="D481" s="6"/>
    </row>
    <row r="482">
      <c r="A482" s="59">
        <v>52.0</v>
      </c>
      <c r="B482" s="11" t="s">
        <v>363</v>
      </c>
      <c r="C482" s="17" t="s">
        <v>567</v>
      </c>
      <c r="D482" s="6"/>
    </row>
    <row r="483">
      <c r="A483" s="59">
        <v>53.0</v>
      </c>
      <c r="B483" s="11" t="s">
        <v>364</v>
      </c>
      <c r="C483" s="17" t="s">
        <v>567</v>
      </c>
      <c r="D483" s="6"/>
    </row>
    <row r="484">
      <c r="A484" s="59" t="s">
        <v>586</v>
      </c>
      <c r="B484" s="11" t="s">
        <v>587</v>
      </c>
      <c r="C484" s="17" t="s">
        <v>564</v>
      </c>
      <c r="D484" s="6"/>
    </row>
    <row r="485">
      <c r="A485" s="59" t="s">
        <v>588</v>
      </c>
      <c r="B485" s="11" t="s">
        <v>589</v>
      </c>
      <c r="C485" s="17" t="s">
        <v>567</v>
      </c>
      <c r="D485" s="6"/>
    </row>
    <row r="486">
      <c r="A486" s="59" t="s">
        <v>590</v>
      </c>
      <c r="B486" s="11" t="s">
        <v>591</v>
      </c>
      <c r="C486" s="17" t="s">
        <v>567</v>
      </c>
      <c r="D486" s="6"/>
    </row>
    <row r="487">
      <c r="A487" s="62" t="s">
        <v>592</v>
      </c>
      <c r="B487" s="28" t="s">
        <v>593</v>
      </c>
      <c r="C487" s="27" t="s">
        <v>567</v>
      </c>
      <c r="D487" s="6"/>
    </row>
    <row r="488">
      <c r="A488" s="50"/>
      <c r="B488" s="6"/>
      <c r="C488" s="6"/>
      <c r="D488" s="6"/>
    </row>
    <row r="489">
      <c r="A489" s="50"/>
      <c r="B489" s="6"/>
      <c r="C489" s="6"/>
      <c r="D489" s="6"/>
    </row>
    <row r="490">
      <c r="A490" s="51" t="s">
        <v>3</v>
      </c>
      <c r="B490" s="11">
        <v>54.0</v>
      </c>
      <c r="C490" s="6"/>
      <c r="D490" s="6"/>
    </row>
    <row r="491">
      <c r="A491" s="51" t="s">
        <v>5</v>
      </c>
      <c r="B491" s="10" t="s">
        <v>594</v>
      </c>
      <c r="C491" s="6"/>
      <c r="D491" s="6"/>
    </row>
    <row r="492">
      <c r="A492" s="67" t="s">
        <v>7</v>
      </c>
      <c r="B492" s="68" t="s">
        <v>8</v>
      </c>
      <c r="C492" s="6"/>
      <c r="D492" s="6"/>
    </row>
    <row r="493">
      <c r="A493" s="48" t="s">
        <v>595</v>
      </c>
      <c r="B493" s="49" t="s">
        <v>596</v>
      </c>
      <c r="C493" s="6"/>
      <c r="D493" s="6"/>
    </row>
    <row r="494">
      <c r="A494" s="69" t="s">
        <v>597</v>
      </c>
      <c r="B494" s="49" t="s">
        <v>598</v>
      </c>
      <c r="C494" s="6"/>
      <c r="D494" s="6"/>
    </row>
    <row r="495">
      <c r="A495" s="48" t="s">
        <v>599</v>
      </c>
      <c r="B495" s="49" t="s">
        <v>600</v>
      </c>
      <c r="C495" s="6"/>
      <c r="D495" s="6"/>
    </row>
    <row r="496">
      <c r="A496" s="48" t="s">
        <v>601</v>
      </c>
      <c r="B496" s="49" t="s">
        <v>602</v>
      </c>
      <c r="C496" s="6"/>
      <c r="D496" s="6"/>
    </row>
    <row r="497">
      <c r="A497" s="48" t="s">
        <v>603</v>
      </c>
      <c r="B497" s="49" t="s">
        <v>604</v>
      </c>
      <c r="C497" s="6"/>
      <c r="D497" s="6"/>
    </row>
    <row r="498">
      <c r="A498" s="48" t="s">
        <v>605</v>
      </c>
      <c r="B498" s="49" t="s">
        <v>606</v>
      </c>
      <c r="C498" s="6"/>
      <c r="D498" s="6"/>
    </row>
    <row r="499">
      <c r="A499" s="48" t="s">
        <v>607</v>
      </c>
      <c r="B499" s="49" t="s">
        <v>608</v>
      </c>
      <c r="C499" s="6"/>
      <c r="D499" s="6"/>
    </row>
    <row r="500">
      <c r="A500" s="48" t="s">
        <v>609</v>
      </c>
      <c r="B500" s="49" t="s">
        <v>610</v>
      </c>
      <c r="C500" s="6"/>
      <c r="D500" s="6"/>
    </row>
    <row r="501">
      <c r="A501" s="48" t="s">
        <v>611</v>
      </c>
      <c r="B501" s="49" t="s">
        <v>612</v>
      </c>
      <c r="C501" s="6"/>
      <c r="D501" s="6"/>
    </row>
    <row r="502">
      <c r="A502" s="69" t="s">
        <v>613</v>
      </c>
      <c r="B502" s="49" t="s">
        <v>614</v>
      </c>
      <c r="C502" s="6"/>
      <c r="D502" s="6"/>
    </row>
    <row r="503">
      <c r="A503" s="48" t="s">
        <v>615</v>
      </c>
      <c r="B503" s="49" t="s">
        <v>616</v>
      </c>
      <c r="C503" s="6"/>
      <c r="D503" s="6"/>
    </row>
    <row r="504">
      <c r="A504" s="69" t="s">
        <v>617</v>
      </c>
      <c r="B504" s="49" t="s">
        <v>618</v>
      </c>
      <c r="C504" s="6"/>
      <c r="D504" s="6"/>
    </row>
    <row r="505">
      <c r="A505" s="48" t="s">
        <v>619</v>
      </c>
      <c r="B505" s="49" t="s">
        <v>620</v>
      </c>
      <c r="C505" s="6"/>
      <c r="D505" s="6"/>
    </row>
    <row r="506">
      <c r="A506" s="69" t="s">
        <v>621</v>
      </c>
      <c r="B506" s="49" t="s">
        <v>622</v>
      </c>
      <c r="C506" s="6"/>
      <c r="D506" s="6"/>
    </row>
    <row r="507">
      <c r="A507" s="69" t="s">
        <v>623</v>
      </c>
      <c r="B507" s="49" t="s">
        <v>624</v>
      </c>
      <c r="C507" s="6"/>
      <c r="D507" s="6"/>
    </row>
    <row r="508">
      <c r="A508" s="48" t="s">
        <v>625</v>
      </c>
      <c r="B508" s="70" t="s">
        <v>626</v>
      </c>
      <c r="C508" s="6"/>
      <c r="D508" s="6"/>
    </row>
    <row r="509">
      <c r="A509" s="48" t="s">
        <v>627</v>
      </c>
      <c r="B509" s="49" t="s">
        <v>628</v>
      </c>
      <c r="C509" s="6"/>
      <c r="D509" s="6"/>
    </row>
    <row r="510">
      <c r="A510" s="48" t="s">
        <v>629</v>
      </c>
      <c r="B510" s="49" t="s">
        <v>630</v>
      </c>
      <c r="C510" s="6"/>
      <c r="D510" s="6"/>
    </row>
    <row r="511">
      <c r="A511" s="48" t="s">
        <v>631</v>
      </c>
      <c r="B511" s="49" t="s">
        <v>632</v>
      </c>
      <c r="C511" s="6"/>
      <c r="D511" s="6"/>
    </row>
    <row r="512">
      <c r="A512" s="48" t="s">
        <v>633</v>
      </c>
      <c r="B512" s="49" t="s">
        <v>634</v>
      </c>
      <c r="C512" s="6"/>
      <c r="D512" s="6"/>
    </row>
    <row r="513">
      <c r="A513" s="48" t="s">
        <v>635</v>
      </c>
      <c r="B513" s="49" t="s">
        <v>636</v>
      </c>
      <c r="C513" s="6"/>
      <c r="D513" s="6"/>
    </row>
    <row r="514">
      <c r="A514" s="48" t="s">
        <v>637</v>
      </c>
      <c r="B514" s="49" t="s">
        <v>638</v>
      </c>
      <c r="C514" s="6"/>
      <c r="D514" s="6"/>
    </row>
    <row r="515">
      <c r="A515" s="48" t="s">
        <v>639</v>
      </c>
      <c r="B515" s="49" t="s">
        <v>640</v>
      </c>
      <c r="C515" s="6"/>
      <c r="D515" s="6"/>
    </row>
    <row r="516">
      <c r="A516" s="48" t="s">
        <v>641</v>
      </c>
      <c r="B516" s="49" t="s">
        <v>642</v>
      </c>
      <c r="C516" s="6"/>
      <c r="D516" s="6"/>
    </row>
    <row r="517">
      <c r="A517" s="48" t="s">
        <v>643</v>
      </c>
      <c r="B517" s="49" t="s">
        <v>644</v>
      </c>
      <c r="C517" s="6"/>
      <c r="D517" s="6"/>
    </row>
    <row r="518">
      <c r="A518" s="69" t="s">
        <v>645</v>
      </c>
      <c r="B518" s="49" t="s">
        <v>646</v>
      </c>
      <c r="C518" s="6"/>
      <c r="D518" s="6"/>
    </row>
    <row r="519">
      <c r="A519" s="48" t="s">
        <v>647</v>
      </c>
      <c r="B519" s="49" t="s">
        <v>648</v>
      </c>
      <c r="C519" s="6"/>
      <c r="D519" s="6"/>
    </row>
    <row r="520">
      <c r="A520" s="48" t="s">
        <v>649</v>
      </c>
      <c r="B520" s="49" t="s">
        <v>650</v>
      </c>
      <c r="C520" s="6"/>
      <c r="D520" s="6"/>
    </row>
    <row r="521">
      <c r="A521" s="69" t="s">
        <v>651</v>
      </c>
      <c r="B521" s="49" t="s">
        <v>652</v>
      </c>
      <c r="C521" s="6"/>
      <c r="D521" s="6"/>
    </row>
    <row r="522">
      <c r="A522" s="48" t="s">
        <v>653</v>
      </c>
      <c r="B522" s="49" t="s">
        <v>654</v>
      </c>
      <c r="C522" s="6"/>
      <c r="D522" s="6"/>
    </row>
    <row r="523">
      <c r="A523" s="48" t="s">
        <v>655</v>
      </c>
      <c r="B523" s="49" t="s">
        <v>656</v>
      </c>
      <c r="C523" s="6"/>
      <c r="D523" s="6"/>
    </row>
    <row r="524">
      <c r="A524" s="48" t="s">
        <v>657</v>
      </c>
      <c r="B524" s="49" t="s">
        <v>658</v>
      </c>
      <c r="C524" s="6"/>
      <c r="D524" s="6"/>
    </row>
    <row r="525">
      <c r="A525" s="48" t="s">
        <v>659</v>
      </c>
      <c r="B525" s="49" t="s">
        <v>660</v>
      </c>
      <c r="C525" s="6"/>
      <c r="D525" s="6"/>
    </row>
    <row r="526">
      <c r="A526" s="48" t="s">
        <v>661</v>
      </c>
      <c r="B526" s="49" t="s">
        <v>662</v>
      </c>
      <c r="C526" s="6"/>
      <c r="D526" s="6"/>
    </row>
    <row r="527">
      <c r="A527" s="48" t="s">
        <v>663</v>
      </c>
      <c r="B527" s="49" t="s">
        <v>664</v>
      </c>
      <c r="C527" s="6"/>
      <c r="D527" s="6"/>
    </row>
    <row r="528">
      <c r="A528" s="69" t="s">
        <v>665</v>
      </c>
      <c r="B528" s="49" t="s">
        <v>666</v>
      </c>
      <c r="C528" s="6"/>
      <c r="D528" s="6"/>
    </row>
    <row r="529">
      <c r="A529" s="69" t="s">
        <v>667</v>
      </c>
      <c r="B529" s="49" t="s">
        <v>668</v>
      </c>
      <c r="C529" s="6"/>
      <c r="D529" s="6"/>
    </row>
    <row r="530">
      <c r="A530" s="54"/>
      <c r="B530" s="20"/>
      <c r="C530" s="6"/>
      <c r="D530" s="6"/>
    </row>
    <row r="531">
      <c r="A531" s="51" t="s">
        <v>3</v>
      </c>
      <c r="B531" s="11">
        <v>55.0</v>
      </c>
      <c r="C531" s="6"/>
      <c r="D531" s="6"/>
    </row>
    <row r="532">
      <c r="A532" s="51" t="s">
        <v>5</v>
      </c>
      <c r="B532" s="11" t="s">
        <v>669</v>
      </c>
      <c r="C532" s="6"/>
      <c r="D532" s="6"/>
    </row>
    <row r="533">
      <c r="A533" s="52" t="s">
        <v>7</v>
      </c>
      <c r="B533" s="13" t="s">
        <v>8</v>
      </c>
      <c r="C533" s="6"/>
      <c r="D533" s="6"/>
    </row>
    <row r="534">
      <c r="A534" s="60" t="s">
        <v>245</v>
      </c>
      <c r="B534" s="71" t="s">
        <v>670</v>
      </c>
      <c r="C534" s="6"/>
      <c r="D534" s="6"/>
    </row>
    <row r="535">
      <c r="A535" s="60" t="s">
        <v>247</v>
      </c>
      <c r="B535" s="71" t="s">
        <v>671</v>
      </c>
      <c r="C535" s="6"/>
      <c r="D535" s="6"/>
    </row>
    <row r="536">
      <c r="A536" s="60" t="s">
        <v>249</v>
      </c>
      <c r="B536" s="71" t="s">
        <v>672</v>
      </c>
      <c r="C536" s="6"/>
      <c r="D536" s="6"/>
    </row>
    <row r="537">
      <c r="A537" s="60" t="s">
        <v>251</v>
      </c>
      <c r="B537" s="71" t="s">
        <v>673</v>
      </c>
      <c r="C537" s="6"/>
      <c r="D537" s="6"/>
    </row>
    <row r="538">
      <c r="A538" s="60" t="s">
        <v>253</v>
      </c>
      <c r="B538" s="71" t="s">
        <v>674</v>
      </c>
      <c r="C538" s="6"/>
      <c r="D538" s="6"/>
    </row>
    <row r="539">
      <c r="A539" s="60" t="s">
        <v>255</v>
      </c>
      <c r="B539" s="71" t="s">
        <v>675</v>
      </c>
      <c r="C539" s="6"/>
      <c r="D539" s="6"/>
    </row>
    <row r="540">
      <c r="A540" s="60" t="s">
        <v>676</v>
      </c>
      <c r="B540" s="55" t="s">
        <v>677</v>
      </c>
      <c r="C540" s="6"/>
      <c r="D540" s="6"/>
    </row>
    <row r="541">
      <c r="A541" s="60" t="s">
        <v>678</v>
      </c>
      <c r="B541" s="56" t="s">
        <v>679</v>
      </c>
      <c r="C541" s="6"/>
      <c r="D541" s="6"/>
    </row>
    <row r="542">
      <c r="A542" s="60" t="s">
        <v>680</v>
      </c>
      <c r="B542" s="55" t="s">
        <v>681</v>
      </c>
      <c r="C542" s="6"/>
      <c r="D542" s="6"/>
    </row>
    <row r="543">
      <c r="A543" s="60" t="s">
        <v>682</v>
      </c>
      <c r="B543" s="55" t="s">
        <v>683</v>
      </c>
      <c r="C543" s="6"/>
      <c r="D543" s="6"/>
    </row>
    <row r="544">
      <c r="A544" s="60" t="s">
        <v>684</v>
      </c>
      <c r="B544" s="55" t="s">
        <v>685</v>
      </c>
      <c r="C544" s="6"/>
      <c r="D544" s="6"/>
    </row>
    <row r="545">
      <c r="A545" s="60" t="s">
        <v>686</v>
      </c>
      <c r="B545" s="55" t="s">
        <v>687</v>
      </c>
      <c r="C545" s="6"/>
      <c r="D545" s="6"/>
    </row>
    <row r="546">
      <c r="A546" s="60" t="s">
        <v>688</v>
      </c>
      <c r="B546" s="55" t="s">
        <v>689</v>
      </c>
      <c r="C546" s="6"/>
      <c r="D546" s="6"/>
    </row>
    <row r="547">
      <c r="A547" s="60" t="s">
        <v>690</v>
      </c>
      <c r="B547" s="55" t="s">
        <v>691</v>
      </c>
      <c r="C547" s="6"/>
      <c r="D547" s="6"/>
    </row>
    <row r="548">
      <c r="A548" s="60" t="s">
        <v>692</v>
      </c>
      <c r="B548" s="55" t="s">
        <v>693</v>
      </c>
      <c r="C548" s="6"/>
      <c r="D548" s="6"/>
    </row>
    <row r="549">
      <c r="A549" s="60" t="s">
        <v>694</v>
      </c>
      <c r="B549" s="55" t="s">
        <v>695</v>
      </c>
      <c r="C549" s="6"/>
      <c r="D549" s="6"/>
    </row>
    <row r="550">
      <c r="A550" s="60" t="s">
        <v>696</v>
      </c>
      <c r="B550" s="55" t="s">
        <v>697</v>
      </c>
      <c r="C550" s="6"/>
      <c r="D550" s="6"/>
    </row>
    <row r="551">
      <c r="A551" s="60" t="s">
        <v>265</v>
      </c>
      <c r="B551" s="34" t="s">
        <v>698</v>
      </c>
      <c r="C551" s="6"/>
      <c r="D551" s="6"/>
    </row>
    <row r="552">
      <c r="A552" s="60" t="s">
        <v>267</v>
      </c>
      <c r="B552" s="55" t="s">
        <v>699</v>
      </c>
      <c r="C552" s="6"/>
      <c r="D552" s="6"/>
    </row>
    <row r="553">
      <c r="A553" s="60">
        <v>4002.0</v>
      </c>
      <c r="B553" s="55" t="s">
        <v>700</v>
      </c>
      <c r="C553" s="6"/>
      <c r="D553" s="6"/>
    </row>
    <row r="554">
      <c r="A554" s="60">
        <v>4003.0</v>
      </c>
      <c r="B554" s="55" t="s">
        <v>701</v>
      </c>
      <c r="C554" s="6"/>
      <c r="D554" s="6"/>
    </row>
    <row r="555">
      <c r="A555" s="60">
        <v>4004.0</v>
      </c>
      <c r="B555" s="55" t="s">
        <v>702</v>
      </c>
      <c r="C555" s="6"/>
      <c r="D555" s="6"/>
    </row>
    <row r="556">
      <c r="A556" s="60">
        <v>4005.0</v>
      </c>
      <c r="B556" s="55" t="s">
        <v>703</v>
      </c>
      <c r="C556" s="6"/>
      <c r="D556" s="6"/>
    </row>
    <row r="557">
      <c r="A557" s="60">
        <v>4006.0</v>
      </c>
      <c r="B557" s="55" t="s">
        <v>704</v>
      </c>
      <c r="C557" s="6"/>
      <c r="D557" s="6"/>
    </row>
    <row r="558">
      <c r="A558" s="60">
        <v>4007.0</v>
      </c>
      <c r="B558" s="34" t="s">
        <v>705</v>
      </c>
      <c r="C558" s="6"/>
      <c r="D558" s="6"/>
    </row>
    <row r="559">
      <c r="A559" s="60">
        <v>4008.0</v>
      </c>
      <c r="B559" s="34" t="s">
        <v>706</v>
      </c>
      <c r="C559" s="6"/>
      <c r="D559" s="6"/>
    </row>
    <row r="560">
      <c r="A560" s="60">
        <v>4009.0</v>
      </c>
      <c r="B560" s="64" t="s">
        <v>707</v>
      </c>
      <c r="C560" s="6"/>
      <c r="D560" s="6"/>
    </row>
    <row r="561">
      <c r="A561" s="60" t="s">
        <v>708</v>
      </c>
      <c r="B561" s="55" t="s">
        <v>709</v>
      </c>
      <c r="C561" s="6"/>
      <c r="D561" s="6"/>
    </row>
    <row r="562">
      <c r="A562" s="60" t="s">
        <v>710</v>
      </c>
      <c r="B562" s="55" t="s">
        <v>711</v>
      </c>
      <c r="C562" s="6"/>
      <c r="D562" s="6"/>
    </row>
    <row r="563">
      <c r="A563" s="60" t="s">
        <v>712</v>
      </c>
      <c r="B563" s="55" t="s">
        <v>713</v>
      </c>
      <c r="C563" s="6"/>
      <c r="D563" s="6"/>
    </row>
    <row r="564">
      <c r="A564" s="60" t="s">
        <v>714</v>
      </c>
      <c r="B564" s="55" t="s">
        <v>715</v>
      </c>
      <c r="C564" s="6"/>
      <c r="D564" s="6"/>
    </row>
    <row r="565">
      <c r="A565" s="60" t="s">
        <v>716</v>
      </c>
      <c r="B565" s="55" t="s">
        <v>717</v>
      </c>
      <c r="C565" s="6"/>
      <c r="D565" s="6"/>
    </row>
    <row r="566">
      <c r="A566" s="59" t="s">
        <v>718</v>
      </c>
      <c r="B566" s="34" t="s">
        <v>719</v>
      </c>
      <c r="C566" s="6"/>
      <c r="D566" s="6"/>
    </row>
    <row r="567">
      <c r="A567" s="59" t="s">
        <v>720</v>
      </c>
      <c r="B567" s="64" t="s">
        <v>721</v>
      </c>
      <c r="C567" s="6"/>
      <c r="D567" s="6"/>
    </row>
    <row r="568">
      <c r="A568" s="59" t="s">
        <v>722</v>
      </c>
      <c r="B568" s="64" t="s">
        <v>723</v>
      </c>
      <c r="C568" s="6"/>
      <c r="D568" s="6"/>
    </row>
    <row r="569">
      <c r="A569" s="59" t="s">
        <v>724</v>
      </c>
      <c r="B569" s="64" t="s">
        <v>725</v>
      </c>
      <c r="C569" s="6"/>
      <c r="D569" s="6"/>
    </row>
    <row r="570">
      <c r="A570" s="59" t="s">
        <v>726</v>
      </c>
      <c r="B570" s="64" t="s">
        <v>727</v>
      </c>
      <c r="C570" s="6"/>
      <c r="D570" s="6"/>
    </row>
    <row r="571">
      <c r="A571" s="59" t="s">
        <v>728</v>
      </c>
      <c r="B571" s="34" t="s">
        <v>729</v>
      </c>
      <c r="C571" s="6"/>
      <c r="D571" s="6"/>
    </row>
    <row r="572">
      <c r="A572" s="59" t="s">
        <v>730</v>
      </c>
      <c r="B572" s="34" t="s">
        <v>731</v>
      </c>
      <c r="C572" s="6"/>
      <c r="D572" s="6"/>
    </row>
    <row r="573">
      <c r="A573" s="59" t="s">
        <v>732</v>
      </c>
      <c r="B573" s="34" t="s">
        <v>733</v>
      </c>
      <c r="C573" s="6"/>
      <c r="D573" s="6"/>
    </row>
    <row r="574">
      <c r="A574" s="59" t="s">
        <v>734</v>
      </c>
      <c r="B574" s="34" t="s">
        <v>735</v>
      </c>
      <c r="C574" s="6"/>
      <c r="D574" s="6"/>
    </row>
    <row r="575">
      <c r="A575" s="59" t="s">
        <v>736</v>
      </c>
      <c r="B575" s="34" t="s">
        <v>737</v>
      </c>
      <c r="C575" s="6"/>
      <c r="D575" s="6"/>
    </row>
    <row r="576">
      <c r="A576" s="59" t="s">
        <v>738</v>
      </c>
      <c r="B576" s="34" t="s">
        <v>739</v>
      </c>
      <c r="C576" s="6"/>
      <c r="D576" s="6"/>
    </row>
    <row r="577">
      <c r="A577" s="59" t="s">
        <v>740</v>
      </c>
      <c r="B577" s="34" t="s">
        <v>741</v>
      </c>
      <c r="C577" s="6"/>
      <c r="D577" s="6"/>
    </row>
    <row r="578">
      <c r="A578" s="60" t="s">
        <v>742</v>
      </c>
      <c r="B578" s="55" t="s">
        <v>743</v>
      </c>
      <c r="C578" s="6"/>
      <c r="D578" s="6"/>
    </row>
    <row r="579">
      <c r="A579" s="60" t="s">
        <v>744</v>
      </c>
      <c r="B579" s="55" t="s">
        <v>745</v>
      </c>
      <c r="C579" s="6"/>
      <c r="D579" s="6"/>
    </row>
    <row r="580">
      <c r="A580" s="60">
        <v>5000.0</v>
      </c>
      <c r="B580" s="55" t="s">
        <v>286</v>
      </c>
      <c r="C580" s="6"/>
      <c r="D580" s="6"/>
    </row>
    <row r="581">
      <c r="A581" s="60">
        <v>5001.0</v>
      </c>
      <c r="B581" s="55" t="s">
        <v>746</v>
      </c>
      <c r="C581" s="6"/>
      <c r="D581" s="6"/>
    </row>
    <row r="582">
      <c r="A582" s="60">
        <v>5002.0</v>
      </c>
      <c r="B582" s="55" t="s">
        <v>747</v>
      </c>
      <c r="C582" s="6"/>
      <c r="D582" s="6"/>
    </row>
    <row r="583">
      <c r="A583" s="60">
        <v>5003.0</v>
      </c>
      <c r="B583" s="55" t="s">
        <v>748</v>
      </c>
      <c r="C583" s="6"/>
      <c r="D583" s="6"/>
    </row>
    <row r="584">
      <c r="A584" s="59" t="s">
        <v>749</v>
      </c>
      <c r="B584" s="34" t="s">
        <v>750</v>
      </c>
      <c r="C584" s="6"/>
      <c r="D584" s="6"/>
    </row>
    <row r="585">
      <c r="A585" s="59" t="s">
        <v>751</v>
      </c>
      <c r="B585" s="34" t="s">
        <v>752</v>
      </c>
      <c r="C585" s="6"/>
      <c r="D585" s="6"/>
    </row>
    <row r="586">
      <c r="A586" s="59" t="s">
        <v>753</v>
      </c>
      <c r="B586" s="34" t="s">
        <v>754</v>
      </c>
      <c r="C586" s="6"/>
      <c r="D586" s="6"/>
    </row>
    <row r="587">
      <c r="A587" s="59" t="s">
        <v>755</v>
      </c>
      <c r="B587" s="34" t="s">
        <v>756</v>
      </c>
      <c r="C587" s="6"/>
      <c r="D587" s="6"/>
    </row>
    <row r="588">
      <c r="A588" s="59" t="s">
        <v>757</v>
      </c>
      <c r="B588" s="34" t="s">
        <v>758</v>
      </c>
      <c r="C588" s="6"/>
      <c r="D588" s="6"/>
    </row>
    <row r="589">
      <c r="A589" s="59" t="s">
        <v>759</v>
      </c>
      <c r="B589" s="34" t="s">
        <v>760</v>
      </c>
      <c r="C589" s="6"/>
      <c r="D589" s="6"/>
    </row>
    <row r="590">
      <c r="A590" s="59" t="s">
        <v>761</v>
      </c>
      <c r="B590" s="34" t="s">
        <v>762</v>
      </c>
      <c r="C590" s="6"/>
      <c r="D590" s="6"/>
    </row>
    <row r="591">
      <c r="A591" s="59" t="s">
        <v>763</v>
      </c>
      <c r="B591" s="34" t="s">
        <v>764</v>
      </c>
      <c r="C591" s="6"/>
      <c r="D591" s="6"/>
    </row>
    <row r="592">
      <c r="A592" s="59" t="s">
        <v>765</v>
      </c>
      <c r="B592" s="34" t="s">
        <v>766</v>
      </c>
      <c r="C592" s="6"/>
      <c r="D592" s="6"/>
    </row>
    <row r="593">
      <c r="A593" s="59" t="s">
        <v>767</v>
      </c>
      <c r="B593" s="34" t="s">
        <v>768</v>
      </c>
      <c r="C593" s="6"/>
      <c r="D593" s="6"/>
    </row>
    <row r="594">
      <c r="A594" s="59" t="s">
        <v>769</v>
      </c>
      <c r="B594" s="34" t="s">
        <v>770</v>
      </c>
      <c r="C594" s="6"/>
      <c r="D594" s="6"/>
    </row>
    <row r="595">
      <c r="A595" s="59" t="s">
        <v>771</v>
      </c>
      <c r="B595" s="34" t="s">
        <v>772</v>
      </c>
      <c r="C595" s="6"/>
      <c r="D595" s="6"/>
    </row>
    <row r="596">
      <c r="A596" s="59" t="s">
        <v>773</v>
      </c>
      <c r="B596" s="34" t="s">
        <v>774</v>
      </c>
      <c r="C596" s="6"/>
      <c r="D596" s="6"/>
    </row>
    <row r="597">
      <c r="A597" s="59" t="s">
        <v>775</v>
      </c>
      <c r="B597" s="34" t="s">
        <v>776</v>
      </c>
      <c r="C597" s="6"/>
      <c r="D597" s="6"/>
    </row>
    <row r="598">
      <c r="A598" s="59" t="s">
        <v>777</v>
      </c>
      <c r="B598" s="34" t="s">
        <v>778</v>
      </c>
      <c r="C598" s="6"/>
      <c r="D598" s="6"/>
    </row>
    <row r="599">
      <c r="A599" s="59" t="s">
        <v>779</v>
      </c>
      <c r="B599" s="34" t="s">
        <v>780</v>
      </c>
      <c r="C599" s="6"/>
      <c r="D599" s="6"/>
    </row>
    <row r="600">
      <c r="A600" s="59" t="s">
        <v>781</v>
      </c>
      <c r="B600" s="34" t="s">
        <v>782</v>
      </c>
      <c r="C600" s="6"/>
      <c r="D600" s="6"/>
    </row>
    <row r="601">
      <c r="A601" s="59" t="s">
        <v>783</v>
      </c>
      <c r="B601" s="34" t="s">
        <v>784</v>
      </c>
      <c r="C601" s="6"/>
      <c r="D601" s="6"/>
    </row>
    <row r="602">
      <c r="A602" s="59" t="s">
        <v>785</v>
      </c>
      <c r="B602" s="34" t="s">
        <v>786</v>
      </c>
      <c r="C602" s="6"/>
      <c r="D602" s="6"/>
    </row>
    <row r="603">
      <c r="A603" s="59" t="s">
        <v>787</v>
      </c>
      <c r="B603" s="34" t="s">
        <v>788</v>
      </c>
      <c r="C603" s="6"/>
      <c r="D603" s="6"/>
    </row>
    <row r="604">
      <c r="A604" s="59" t="s">
        <v>789</v>
      </c>
      <c r="B604" s="34" t="s">
        <v>790</v>
      </c>
      <c r="C604" s="6"/>
      <c r="D604" s="6"/>
    </row>
    <row r="605">
      <c r="A605" s="59" t="s">
        <v>791</v>
      </c>
      <c r="B605" s="34" t="s">
        <v>792</v>
      </c>
      <c r="C605" s="6"/>
      <c r="D605" s="6"/>
    </row>
    <row r="606">
      <c r="A606" s="59" t="s">
        <v>793</v>
      </c>
      <c r="B606" s="34" t="s">
        <v>794</v>
      </c>
      <c r="C606" s="6"/>
      <c r="D606" s="6"/>
    </row>
    <row r="607">
      <c r="A607" s="59" t="s">
        <v>795</v>
      </c>
      <c r="B607" s="34" t="s">
        <v>796</v>
      </c>
      <c r="C607" s="6"/>
      <c r="D607" s="6"/>
    </row>
    <row r="608">
      <c r="A608" s="59" t="s">
        <v>797</v>
      </c>
      <c r="B608" s="34" t="s">
        <v>798</v>
      </c>
      <c r="C608" s="6"/>
      <c r="D608" s="6"/>
    </row>
    <row r="609">
      <c r="A609" s="59" t="s">
        <v>799</v>
      </c>
      <c r="B609" s="34" t="s">
        <v>800</v>
      </c>
      <c r="C609" s="6"/>
      <c r="D609" s="6"/>
    </row>
    <row r="610">
      <c r="A610" s="59" t="s">
        <v>801</v>
      </c>
      <c r="B610" s="34" t="s">
        <v>802</v>
      </c>
      <c r="C610" s="6"/>
      <c r="D610" s="6"/>
    </row>
    <row r="611">
      <c r="A611" s="59" t="s">
        <v>803</v>
      </c>
      <c r="B611" s="34" t="s">
        <v>804</v>
      </c>
      <c r="C611" s="6"/>
      <c r="D611" s="6"/>
    </row>
    <row r="612">
      <c r="A612" s="59" t="s">
        <v>805</v>
      </c>
      <c r="B612" s="34" t="s">
        <v>806</v>
      </c>
      <c r="C612" s="6"/>
      <c r="D612" s="6"/>
    </row>
    <row r="613">
      <c r="A613" s="59" t="s">
        <v>807</v>
      </c>
      <c r="B613" s="34" t="s">
        <v>808</v>
      </c>
      <c r="C613" s="6"/>
      <c r="D613" s="6"/>
    </row>
    <row r="614">
      <c r="A614" s="59" t="s">
        <v>809</v>
      </c>
      <c r="B614" s="34" t="s">
        <v>810</v>
      </c>
      <c r="C614" s="6"/>
      <c r="D614" s="6"/>
    </row>
    <row r="615">
      <c r="A615" s="59" t="s">
        <v>811</v>
      </c>
      <c r="B615" s="34" t="s">
        <v>812</v>
      </c>
      <c r="C615" s="6"/>
      <c r="D615" s="6"/>
    </row>
    <row r="616">
      <c r="A616" s="59" t="s">
        <v>813</v>
      </c>
      <c r="B616" s="34" t="s">
        <v>814</v>
      </c>
      <c r="C616" s="6"/>
      <c r="D616" s="6"/>
    </row>
    <row r="617">
      <c r="A617" s="59" t="s">
        <v>815</v>
      </c>
      <c r="B617" s="34" t="s">
        <v>816</v>
      </c>
      <c r="C617" s="6"/>
      <c r="D617" s="6"/>
    </row>
    <row r="618">
      <c r="A618" s="60">
        <v>6000.0</v>
      </c>
      <c r="B618" s="55" t="s">
        <v>817</v>
      </c>
      <c r="C618" s="6"/>
      <c r="D618" s="6"/>
    </row>
    <row r="619">
      <c r="A619" s="60">
        <v>6001.0</v>
      </c>
      <c r="B619" s="55" t="s">
        <v>818</v>
      </c>
      <c r="C619" s="6"/>
      <c r="D619" s="6"/>
    </row>
    <row r="620">
      <c r="A620" s="60">
        <v>6002.0</v>
      </c>
      <c r="B620" s="55" t="s">
        <v>819</v>
      </c>
      <c r="C620" s="6"/>
      <c r="D620" s="6"/>
    </row>
    <row r="621">
      <c r="A621" s="60">
        <v>6003.0</v>
      </c>
      <c r="B621" s="55" t="s">
        <v>820</v>
      </c>
      <c r="C621" s="6"/>
      <c r="D621" s="6"/>
    </row>
    <row r="622">
      <c r="A622" s="60">
        <v>6004.0</v>
      </c>
      <c r="B622" s="55" t="s">
        <v>821</v>
      </c>
      <c r="C622" s="6"/>
      <c r="D622" s="6"/>
    </row>
    <row r="623">
      <c r="A623" s="72">
        <v>6005.0</v>
      </c>
      <c r="B623" s="73" t="s">
        <v>304</v>
      </c>
      <c r="C623" s="6"/>
      <c r="D623" s="6"/>
    </row>
    <row r="624">
      <c r="A624" s="72">
        <v>6006.0</v>
      </c>
      <c r="B624" s="73" t="s">
        <v>306</v>
      </c>
      <c r="C624" s="6"/>
      <c r="D624" s="6"/>
    </row>
    <row r="625">
      <c r="A625" s="60" t="s">
        <v>822</v>
      </c>
      <c r="B625" s="55" t="s">
        <v>823</v>
      </c>
      <c r="C625" s="6"/>
      <c r="D625" s="6"/>
    </row>
    <row r="626">
      <c r="A626" s="60">
        <v>7001.0</v>
      </c>
      <c r="B626" s="74" t="s">
        <v>824</v>
      </c>
      <c r="C626" s="6"/>
      <c r="D626" s="6"/>
    </row>
    <row r="627">
      <c r="A627" s="60">
        <v>7002.0</v>
      </c>
      <c r="B627" s="74" t="s">
        <v>825</v>
      </c>
      <c r="C627" s="6"/>
      <c r="D627" s="6"/>
    </row>
    <row r="628">
      <c r="A628" s="60">
        <v>7003.0</v>
      </c>
      <c r="B628" s="74" t="s">
        <v>826</v>
      </c>
      <c r="C628" s="6"/>
      <c r="D628" s="6"/>
    </row>
    <row r="629">
      <c r="A629" s="60" t="s">
        <v>827</v>
      </c>
      <c r="B629" s="75" t="s">
        <v>828</v>
      </c>
      <c r="C629" s="6"/>
      <c r="D629" s="6"/>
    </row>
    <row r="630">
      <c r="A630" s="60" t="s">
        <v>829</v>
      </c>
      <c r="B630" s="75" t="s">
        <v>830</v>
      </c>
      <c r="C630" s="6"/>
      <c r="D630" s="6"/>
    </row>
    <row r="631">
      <c r="A631" s="60" t="s">
        <v>831</v>
      </c>
      <c r="B631" s="74" t="s">
        <v>832</v>
      </c>
      <c r="C631" s="6"/>
      <c r="D631" s="6"/>
    </row>
    <row r="632">
      <c r="A632" s="60" t="s">
        <v>833</v>
      </c>
      <c r="B632" s="74" t="s">
        <v>834</v>
      </c>
      <c r="C632" s="6"/>
      <c r="D632" s="6"/>
    </row>
    <row r="633">
      <c r="A633" s="60" t="s">
        <v>835</v>
      </c>
      <c r="B633" s="74" t="s">
        <v>836</v>
      </c>
      <c r="C633" s="6"/>
      <c r="D633" s="6"/>
    </row>
    <row r="634">
      <c r="A634" s="60" t="s">
        <v>837</v>
      </c>
      <c r="B634" s="74" t="s">
        <v>838</v>
      </c>
      <c r="C634" s="6"/>
      <c r="D634" s="6"/>
    </row>
    <row r="635">
      <c r="A635" s="60" t="s">
        <v>839</v>
      </c>
      <c r="B635" s="74" t="s">
        <v>840</v>
      </c>
      <c r="C635" s="6"/>
      <c r="D635" s="6"/>
    </row>
    <row r="636">
      <c r="A636" s="59" t="s">
        <v>841</v>
      </c>
      <c r="B636" s="75" t="s">
        <v>842</v>
      </c>
      <c r="C636" s="6"/>
      <c r="D636" s="6"/>
    </row>
    <row r="637">
      <c r="A637" s="59" t="s">
        <v>843</v>
      </c>
      <c r="B637" s="11" t="s">
        <v>844</v>
      </c>
      <c r="C637" s="6"/>
      <c r="D637" s="6"/>
    </row>
    <row r="638">
      <c r="A638" s="59" t="s">
        <v>845</v>
      </c>
      <c r="B638" s="34" t="s">
        <v>846</v>
      </c>
      <c r="C638" s="6"/>
      <c r="D638" s="6"/>
    </row>
    <row r="639">
      <c r="A639" s="59" t="s">
        <v>847</v>
      </c>
      <c r="B639" s="34" t="s">
        <v>848</v>
      </c>
      <c r="C639" s="6"/>
      <c r="D639" s="6"/>
    </row>
    <row r="640">
      <c r="A640" s="59" t="s">
        <v>849</v>
      </c>
      <c r="B640" s="34" t="s">
        <v>850</v>
      </c>
      <c r="C640" s="6"/>
      <c r="D640" s="6"/>
    </row>
    <row r="641">
      <c r="A641" s="59" t="s">
        <v>851</v>
      </c>
      <c r="B641" s="34" t="s">
        <v>852</v>
      </c>
      <c r="C641" s="6"/>
      <c r="D641" s="6"/>
    </row>
    <row r="642">
      <c r="A642" s="62" t="s">
        <v>853</v>
      </c>
      <c r="B642" s="76" t="s">
        <v>854</v>
      </c>
      <c r="C642" s="6"/>
      <c r="D642" s="6"/>
    </row>
    <row r="643">
      <c r="A643" s="62" t="s">
        <v>855</v>
      </c>
      <c r="B643" s="76" t="s">
        <v>856</v>
      </c>
      <c r="C643" s="6"/>
      <c r="D643" s="6"/>
    </row>
    <row r="644">
      <c r="A644" s="62" t="s">
        <v>857</v>
      </c>
      <c r="B644" s="76" t="s">
        <v>858</v>
      </c>
      <c r="C644" s="6"/>
      <c r="D644" s="6"/>
    </row>
    <row r="645">
      <c r="A645" s="59" t="s">
        <v>859</v>
      </c>
      <c r="B645" s="34" t="s">
        <v>860</v>
      </c>
      <c r="C645" s="6"/>
      <c r="D645" s="6"/>
    </row>
    <row r="646">
      <c r="A646" s="59" t="s">
        <v>861</v>
      </c>
      <c r="B646" s="34" t="s">
        <v>862</v>
      </c>
      <c r="C646" s="6"/>
      <c r="D646" s="6"/>
    </row>
    <row r="647">
      <c r="A647" s="20"/>
      <c r="B647" s="20"/>
      <c r="C647" s="6"/>
      <c r="D647" s="6"/>
    </row>
    <row r="648">
      <c r="A648" s="9" t="s">
        <v>3</v>
      </c>
      <c r="B648" s="11">
        <v>56.0</v>
      </c>
      <c r="C648" s="6"/>
      <c r="D648" s="6"/>
    </row>
    <row r="649">
      <c r="A649" s="9" t="s">
        <v>5</v>
      </c>
      <c r="B649" s="11" t="s">
        <v>863</v>
      </c>
      <c r="C649" s="6"/>
      <c r="D649" s="6"/>
    </row>
    <row r="650">
      <c r="A650" s="12" t="s">
        <v>7</v>
      </c>
      <c r="B650" s="13" t="s">
        <v>8</v>
      </c>
      <c r="C650" s="6"/>
      <c r="D650" s="6"/>
    </row>
    <row r="651">
      <c r="A651" s="59">
        <v>1.0</v>
      </c>
      <c r="B651" s="34" t="s">
        <v>864</v>
      </c>
      <c r="C651" s="6"/>
      <c r="D651" s="6"/>
    </row>
    <row r="652">
      <c r="A652" s="59">
        <v>2.0</v>
      </c>
      <c r="B652" s="34" t="s">
        <v>865</v>
      </c>
      <c r="C652" s="6"/>
      <c r="D652" s="6"/>
    </row>
    <row r="653">
      <c r="A653" s="59">
        <v>3.0</v>
      </c>
      <c r="B653" s="34" t="s">
        <v>866</v>
      </c>
      <c r="C653" s="6"/>
      <c r="D653" s="6"/>
    </row>
    <row r="654">
      <c r="A654" s="59">
        <v>4.0</v>
      </c>
      <c r="B654" s="34" t="s">
        <v>867</v>
      </c>
      <c r="C654" s="6"/>
      <c r="D654" s="6"/>
    </row>
    <row r="655">
      <c r="A655" s="59">
        <v>5.0</v>
      </c>
      <c r="B655" s="34" t="s">
        <v>868</v>
      </c>
      <c r="C655" s="6"/>
      <c r="D655" s="6"/>
    </row>
    <row r="656">
      <c r="A656" s="59" t="s">
        <v>115</v>
      </c>
      <c r="B656" s="34" t="s">
        <v>869</v>
      </c>
      <c r="C656" s="6"/>
      <c r="D656" s="6"/>
    </row>
    <row r="657">
      <c r="A657" s="59" t="s">
        <v>117</v>
      </c>
      <c r="B657" s="34" t="s">
        <v>870</v>
      </c>
      <c r="C657" s="6"/>
      <c r="D657" s="6"/>
    </row>
    <row r="658">
      <c r="A658" s="20"/>
      <c r="B658" s="20"/>
      <c r="C658" s="6"/>
      <c r="D658" s="6"/>
    </row>
    <row r="659">
      <c r="A659" s="9" t="s">
        <v>3</v>
      </c>
      <c r="B659" s="11">
        <v>57.0</v>
      </c>
      <c r="C659" s="6"/>
      <c r="D659" s="6"/>
    </row>
    <row r="660">
      <c r="A660" s="9" t="s">
        <v>5</v>
      </c>
      <c r="B660" s="11" t="s">
        <v>871</v>
      </c>
      <c r="C660" s="6"/>
      <c r="D660" s="6"/>
    </row>
    <row r="661">
      <c r="A661" s="12" t="s">
        <v>7</v>
      </c>
      <c r="B661" s="13" t="s">
        <v>8</v>
      </c>
      <c r="C661" s="6"/>
      <c r="D661" s="6"/>
    </row>
    <row r="662">
      <c r="A662" s="59">
        <v>1.0</v>
      </c>
      <c r="B662" s="34" t="s">
        <v>872</v>
      </c>
      <c r="C662" s="6"/>
      <c r="D662" s="6"/>
    </row>
    <row r="663">
      <c r="A663" s="59">
        <v>2.0</v>
      </c>
      <c r="B663" s="34" t="s">
        <v>873</v>
      </c>
      <c r="C663" s="6"/>
      <c r="D663" s="6"/>
    </row>
    <row r="664">
      <c r="A664" s="59">
        <v>3.0</v>
      </c>
      <c r="B664" s="34" t="s">
        <v>874</v>
      </c>
      <c r="C664" s="6"/>
      <c r="D664" s="6"/>
    </row>
    <row r="665">
      <c r="A665" s="59">
        <v>4.0</v>
      </c>
      <c r="B665" s="34" t="s">
        <v>875</v>
      </c>
      <c r="C665" s="6"/>
      <c r="D665" s="6"/>
    </row>
    <row r="666">
      <c r="A666" s="20"/>
      <c r="B666" s="20"/>
      <c r="C666" s="6"/>
      <c r="D666" s="6"/>
    </row>
    <row r="667">
      <c r="A667" s="9" t="s">
        <v>3</v>
      </c>
      <c r="B667" s="11">
        <v>58.0</v>
      </c>
      <c r="C667" s="6"/>
      <c r="D667" s="6"/>
    </row>
    <row r="668">
      <c r="A668" s="9" t="s">
        <v>5</v>
      </c>
      <c r="B668" s="11" t="s">
        <v>876</v>
      </c>
      <c r="C668" s="6"/>
      <c r="D668" s="6"/>
    </row>
    <row r="669">
      <c r="A669" s="12" t="s">
        <v>7</v>
      </c>
      <c r="B669" s="13" t="s">
        <v>8</v>
      </c>
      <c r="C669" s="6"/>
      <c r="D669" s="6"/>
    </row>
    <row r="670">
      <c r="A670" s="59">
        <v>1.0</v>
      </c>
      <c r="B670" s="34" t="s">
        <v>877</v>
      </c>
      <c r="C670" s="6"/>
      <c r="D670" s="6"/>
    </row>
    <row r="671">
      <c r="A671" s="59">
        <v>2.0</v>
      </c>
      <c r="B671" s="34" t="s">
        <v>878</v>
      </c>
      <c r="C671" s="6"/>
      <c r="D671" s="6"/>
    </row>
    <row r="672">
      <c r="A672" s="20"/>
      <c r="B672" s="20"/>
      <c r="C672" s="6"/>
      <c r="D672" s="6"/>
    </row>
    <row r="673">
      <c r="A673" s="9" t="s">
        <v>3</v>
      </c>
      <c r="B673" s="11">
        <v>59.0</v>
      </c>
      <c r="C673" s="6"/>
      <c r="D673" s="6"/>
    </row>
    <row r="674">
      <c r="A674" s="9" t="s">
        <v>5</v>
      </c>
      <c r="B674" s="11" t="s">
        <v>879</v>
      </c>
      <c r="C674" s="6"/>
      <c r="D674" s="6"/>
    </row>
    <row r="675">
      <c r="A675" s="12" t="s">
        <v>7</v>
      </c>
      <c r="B675" s="13" t="s">
        <v>8</v>
      </c>
      <c r="C675" s="6"/>
      <c r="D675" s="6"/>
    </row>
    <row r="676">
      <c r="A676" s="59" t="s">
        <v>595</v>
      </c>
      <c r="B676" s="11" t="s">
        <v>880</v>
      </c>
      <c r="C676" s="6"/>
      <c r="D676" s="6"/>
    </row>
    <row r="677">
      <c r="A677" s="59" t="s">
        <v>597</v>
      </c>
      <c r="B677" s="11" t="s">
        <v>881</v>
      </c>
      <c r="C677" s="6"/>
      <c r="D677" s="6"/>
    </row>
    <row r="678">
      <c r="A678" s="59" t="s">
        <v>599</v>
      </c>
      <c r="B678" s="11" t="s">
        <v>882</v>
      </c>
      <c r="C678" s="6"/>
      <c r="D678" s="6"/>
    </row>
    <row r="679">
      <c r="A679" s="59" t="s">
        <v>601</v>
      </c>
      <c r="B679" s="11" t="s">
        <v>883</v>
      </c>
      <c r="C679" s="6"/>
      <c r="D679" s="6"/>
    </row>
    <row r="680">
      <c r="A680" s="59" t="s">
        <v>603</v>
      </c>
      <c r="B680" s="11" t="s">
        <v>884</v>
      </c>
      <c r="C680" s="6"/>
      <c r="D680" s="6"/>
    </row>
    <row r="681">
      <c r="A681" s="59" t="s">
        <v>885</v>
      </c>
      <c r="B681" s="11" t="s">
        <v>886</v>
      </c>
      <c r="C681" s="6"/>
      <c r="D681" s="6"/>
    </row>
    <row r="682">
      <c r="A682" s="59" t="s">
        <v>605</v>
      </c>
      <c r="B682" s="11" t="s">
        <v>887</v>
      </c>
      <c r="C682" s="6"/>
      <c r="D682" s="6"/>
    </row>
    <row r="683">
      <c r="A683" s="59" t="s">
        <v>607</v>
      </c>
      <c r="B683" s="11" t="s">
        <v>888</v>
      </c>
      <c r="C683" s="6"/>
      <c r="D683" s="6"/>
    </row>
    <row r="684">
      <c r="A684" s="59" t="s">
        <v>609</v>
      </c>
      <c r="B684" s="11" t="s">
        <v>889</v>
      </c>
      <c r="C684" s="6"/>
      <c r="D684" s="6"/>
    </row>
    <row r="685">
      <c r="A685" s="59" t="s">
        <v>611</v>
      </c>
      <c r="B685" s="11" t="s">
        <v>890</v>
      </c>
      <c r="C685" s="6"/>
      <c r="D685" s="6"/>
    </row>
    <row r="686">
      <c r="A686" s="59" t="s">
        <v>613</v>
      </c>
      <c r="B686" s="11" t="s">
        <v>891</v>
      </c>
      <c r="C686" s="6"/>
      <c r="D686" s="6"/>
    </row>
    <row r="687">
      <c r="A687" s="59" t="s">
        <v>615</v>
      </c>
      <c r="B687" s="11" t="s">
        <v>892</v>
      </c>
      <c r="C687" s="6"/>
      <c r="D687" s="6"/>
    </row>
    <row r="688">
      <c r="A688" s="59" t="s">
        <v>617</v>
      </c>
      <c r="B688" s="11" t="s">
        <v>893</v>
      </c>
      <c r="C688" s="6"/>
      <c r="D688" s="6"/>
    </row>
    <row r="689">
      <c r="A689" s="59" t="s">
        <v>894</v>
      </c>
      <c r="B689" s="11" t="s">
        <v>895</v>
      </c>
      <c r="C689" s="6"/>
      <c r="D689" s="6"/>
    </row>
    <row r="690">
      <c r="A690" s="59" t="s">
        <v>896</v>
      </c>
      <c r="B690" s="11" t="s">
        <v>897</v>
      </c>
      <c r="C690" s="6"/>
      <c r="D690" s="6"/>
    </row>
    <row r="691">
      <c r="A691" s="59" t="s">
        <v>898</v>
      </c>
      <c r="B691" s="11" t="s">
        <v>899</v>
      </c>
      <c r="C691" s="6"/>
      <c r="D691" s="6"/>
    </row>
    <row r="692">
      <c r="A692" s="59" t="s">
        <v>900</v>
      </c>
      <c r="B692" s="11" t="s">
        <v>901</v>
      </c>
      <c r="C692" s="6"/>
      <c r="D692" s="6"/>
    </row>
    <row r="693">
      <c r="A693" s="59" t="s">
        <v>902</v>
      </c>
      <c r="B693" s="11" t="s">
        <v>903</v>
      </c>
      <c r="C693" s="6"/>
      <c r="D693" s="6"/>
    </row>
    <row r="694">
      <c r="A694" s="59" t="s">
        <v>904</v>
      </c>
      <c r="B694" s="11" t="s">
        <v>905</v>
      </c>
      <c r="C694" s="6"/>
      <c r="D694" s="6"/>
    </row>
    <row r="695">
      <c r="A695" s="59" t="s">
        <v>906</v>
      </c>
      <c r="B695" s="11" t="s">
        <v>907</v>
      </c>
      <c r="C695" s="6"/>
      <c r="D695" s="6"/>
    </row>
    <row r="696">
      <c r="A696" s="59" t="s">
        <v>908</v>
      </c>
      <c r="B696" s="11" t="s">
        <v>909</v>
      </c>
      <c r="C696" s="6"/>
      <c r="D696" s="6"/>
    </row>
    <row r="697">
      <c r="A697" s="59" t="s">
        <v>910</v>
      </c>
      <c r="B697" s="11" t="s">
        <v>911</v>
      </c>
      <c r="C697" s="6"/>
      <c r="D697" s="6"/>
    </row>
    <row r="698">
      <c r="A698" s="19"/>
      <c r="B698" s="20"/>
      <c r="C698" s="6"/>
      <c r="D698" s="6"/>
    </row>
    <row r="699">
      <c r="A699" s="20"/>
      <c r="B699" s="20"/>
      <c r="C699" s="19"/>
      <c r="D699" s="19"/>
    </row>
    <row r="700">
      <c r="A700" s="9" t="s">
        <v>3</v>
      </c>
      <c r="B700" s="11">
        <v>60.0</v>
      </c>
      <c r="C700" s="19"/>
      <c r="D700" s="19"/>
    </row>
    <row r="701">
      <c r="A701" s="9" t="s">
        <v>5</v>
      </c>
      <c r="B701" s="11" t="s">
        <v>912</v>
      </c>
      <c r="C701" s="19"/>
      <c r="D701" s="19"/>
    </row>
    <row r="702">
      <c r="A702" s="12" t="s">
        <v>7</v>
      </c>
      <c r="B702" s="13" t="s">
        <v>8</v>
      </c>
      <c r="C702" s="19"/>
      <c r="D702" s="19"/>
    </row>
    <row r="703">
      <c r="A703" s="59" t="s">
        <v>4</v>
      </c>
      <c r="B703" s="34" t="s">
        <v>913</v>
      </c>
      <c r="C703" s="19"/>
      <c r="D703" s="19"/>
    </row>
    <row r="704">
      <c r="A704" s="59" t="s">
        <v>67</v>
      </c>
      <c r="B704" s="34" t="s">
        <v>914</v>
      </c>
      <c r="C704" s="19"/>
      <c r="D704" s="19"/>
    </row>
    <row r="705">
      <c r="A705" s="59" t="s">
        <v>10</v>
      </c>
      <c r="B705" s="34" t="s">
        <v>915</v>
      </c>
      <c r="C705" s="19"/>
      <c r="D705" s="19"/>
    </row>
    <row r="706">
      <c r="A706" s="59" t="s">
        <v>12</v>
      </c>
      <c r="B706" s="34" t="s">
        <v>916</v>
      </c>
      <c r="C706" s="19"/>
      <c r="D706" s="19"/>
    </row>
    <row r="707">
      <c r="A707" s="59" t="s">
        <v>14</v>
      </c>
      <c r="B707" s="34" t="s">
        <v>203</v>
      </c>
      <c r="C707" s="19"/>
      <c r="D707" s="19"/>
    </row>
    <row r="708">
      <c r="A708" s="19"/>
      <c r="B708" s="19"/>
      <c r="C708" s="19"/>
      <c r="D708" s="19"/>
    </row>
  </sheetData>
  <mergeCells count="16">
    <mergeCell ref="A70:B70"/>
    <mergeCell ref="B72:D72"/>
    <mergeCell ref="B73:D73"/>
    <mergeCell ref="A185:B185"/>
    <mergeCell ref="A186:B186"/>
    <mergeCell ref="B320:C320"/>
    <mergeCell ref="B321:C321"/>
    <mergeCell ref="A392:B392"/>
    <mergeCell ref="A393:B393"/>
    <mergeCell ref="A5:B5"/>
    <mergeCell ref="A6:B6"/>
    <mergeCell ref="A57:B57"/>
    <mergeCell ref="A58:B58"/>
    <mergeCell ref="A63:B63"/>
    <mergeCell ref="A64:B64"/>
    <mergeCell ref="A69:B69"/>
  </mergeCells>
  <hyperlinks>
    <hyperlink r:id="rId1" ref="B2"/>
    <hyperlink r:id="rId2" ref="A58"/>
    <hyperlink r:id="rId3" ref="A70"/>
    <hyperlink r:id="rId4" ref="A186"/>
    <hyperlink r:id="rId5" ref="A39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30.43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>
        <f>J55</f>
        <v>600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108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708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 t="shared" ref="H53:H54" si="1">G53*1.18</f>
        <v>590</v>
      </c>
      <c r="I53" s="90">
        <v>0.0</v>
      </c>
      <c r="J53" s="88">
        <f t="shared" ref="J53:J54" si="2">F53*G53</f>
        <v>500</v>
      </c>
      <c r="K53" s="90">
        <v>1.0</v>
      </c>
      <c r="L53" s="88">
        <f t="shared" ref="L53:L54" si="3">J53*0.18</f>
        <v>90</v>
      </c>
      <c r="M53" s="88">
        <f t="shared" ref="M53:M54" si="4">J53+L53</f>
        <v>590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 t="shared" si="1"/>
        <v>23.6</v>
      </c>
      <c r="I54" s="90">
        <v>0.0</v>
      </c>
      <c r="J54" s="88">
        <f t="shared" si="2"/>
        <v>100</v>
      </c>
      <c r="K54" s="90">
        <v>1.0</v>
      </c>
      <c r="L54" s="88">
        <f t="shared" si="3"/>
        <v>18</v>
      </c>
      <c r="M54" s="88">
        <f t="shared" si="4"/>
        <v>118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5">SUM(I53:I54)</f>
        <v>0</v>
      </c>
      <c r="J55" s="95">
        <f t="shared" si="5"/>
        <v>600</v>
      </c>
      <c r="K55" s="95"/>
      <c r="L55" s="95">
        <f t="shared" ref="L55:M55" si="6">SUM(L53:L54)</f>
        <v>108</v>
      </c>
      <c r="M55" s="95">
        <f t="shared" si="6"/>
        <v>708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30.43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0"/>
    <col customWidth="1" min="12" max="12" width="6.0"/>
    <col customWidth="1" min="13" max="13" width="11.43"/>
    <col customWidth="1" min="14" max="14" width="5.86"/>
    <col customWidth="1" min="15" max="15" width="7.14"/>
    <col customWidth="1" min="16" max="18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</row>
    <row r="22">
      <c r="A22" s="87"/>
      <c r="B22" s="87" t="s">
        <v>965</v>
      </c>
      <c r="C22" s="88">
        <f>J56</f>
        <v>600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</row>
    <row r="25">
      <c r="A25" s="87"/>
      <c r="B25" s="87" t="s">
        <v>1035</v>
      </c>
      <c r="C25" s="88">
        <f>L56</f>
        <v>60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</row>
    <row r="26">
      <c r="A26" s="87"/>
      <c r="B26" s="87" t="s">
        <v>968</v>
      </c>
      <c r="C26" s="88">
        <f>N56</f>
        <v>118.8</v>
      </c>
      <c r="D26" s="89" t="s">
        <v>969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</row>
    <row r="27">
      <c r="A27" s="87"/>
      <c r="B27" s="87" t="s">
        <v>970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</row>
    <row r="28">
      <c r="A28" s="87"/>
      <c r="B28" s="87" t="s">
        <v>971</v>
      </c>
      <c r="C28" s="90">
        <v>0.0</v>
      </c>
      <c r="D28" s="89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</row>
    <row r="29">
      <c r="A29" s="87"/>
      <c r="B29" s="87" t="s">
        <v>972</v>
      </c>
      <c r="C29" s="90">
        <f>C22+C23+C24+C25+C26+C28</f>
        <v>778.8</v>
      </c>
      <c r="D29" s="89" t="s">
        <v>973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</row>
    <row r="30">
      <c r="A30" s="87"/>
      <c r="B30" s="87" t="s">
        <v>974</v>
      </c>
      <c r="C30" s="88"/>
      <c r="D30" s="89" t="s">
        <v>975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</row>
    <row r="31">
      <c r="A31" s="87"/>
      <c r="B31" s="87" t="s">
        <v>976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</row>
    <row r="32">
      <c r="A32" s="87"/>
      <c r="B32" s="87" t="s">
        <v>977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</row>
    <row r="33">
      <c r="A33" s="87"/>
      <c r="B33" s="87" t="s">
        <v>978</v>
      </c>
      <c r="C33" s="88"/>
      <c r="D33" s="89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</row>
    <row r="34">
      <c r="A34" s="77"/>
      <c r="B34" s="77" t="s">
        <v>979</v>
      </c>
      <c r="C34" s="85" t="s">
        <v>980</v>
      </c>
      <c r="D34" s="83" t="s">
        <v>981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4"/>
    </row>
    <row r="35">
      <c r="A35" s="77"/>
      <c r="B35" s="77" t="s">
        <v>982</v>
      </c>
      <c r="C35" s="86"/>
      <c r="D35" s="83" t="s">
        <v>983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4"/>
    </row>
    <row r="36">
      <c r="A36" s="77"/>
      <c r="B36" s="77" t="s">
        <v>984</v>
      </c>
      <c r="C36" s="86"/>
      <c r="D36" s="83" t="s">
        <v>985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4"/>
    </row>
    <row r="37">
      <c r="A37" s="77"/>
      <c r="B37" s="77" t="s">
        <v>986</v>
      </c>
      <c r="C37" s="86"/>
      <c r="D37" s="83" t="s">
        <v>987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4"/>
    </row>
    <row r="38">
      <c r="A38" s="77"/>
      <c r="B38" s="77" t="s">
        <v>988</v>
      </c>
      <c r="C38" s="86"/>
      <c r="D38" s="83" t="s">
        <v>989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4"/>
    </row>
    <row r="39">
      <c r="A39" s="77"/>
      <c r="B39" s="77" t="s">
        <v>990</v>
      </c>
      <c r="C39" s="86"/>
      <c r="D39" s="83" t="s">
        <v>991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4"/>
    </row>
    <row r="40">
      <c r="A40" s="77"/>
      <c r="B40" s="77" t="s">
        <v>992</v>
      </c>
      <c r="C40" s="86"/>
      <c r="D40" s="83" t="s">
        <v>993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4"/>
    </row>
    <row r="41">
      <c r="A41" s="77"/>
      <c r="B41" s="77" t="s">
        <v>994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4"/>
    </row>
    <row r="42">
      <c r="A42" s="77"/>
      <c r="B42" s="77" t="s">
        <v>995</v>
      </c>
      <c r="C42" s="91" t="s">
        <v>980</v>
      </c>
      <c r="D42" s="83" t="s">
        <v>981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4"/>
    </row>
    <row r="43">
      <c r="A43" s="77"/>
      <c r="B43" s="77" t="s">
        <v>996</v>
      </c>
      <c r="C43" s="86"/>
      <c r="D43" s="83" t="s">
        <v>997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4"/>
    </row>
    <row r="44">
      <c r="A44" s="77"/>
      <c r="B44" s="77" t="s">
        <v>998</v>
      </c>
      <c r="C44" s="86"/>
      <c r="D44" s="83" t="s">
        <v>999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4"/>
    </row>
    <row r="45">
      <c r="A45" s="77"/>
      <c r="B45" s="77" t="s">
        <v>1000</v>
      </c>
      <c r="C45" s="86"/>
      <c r="D45" s="83" t="s">
        <v>1001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4"/>
    </row>
    <row r="46">
      <c r="A46" s="77"/>
      <c r="B46" s="77" t="s">
        <v>1002</v>
      </c>
      <c r="C46" s="86"/>
      <c r="D46" s="83" t="s">
        <v>1003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4"/>
    </row>
    <row r="47">
      <c r="A47" s="77"/>
      <c r="B47" s="77" t="s">
        <v>1004</v>
      </c>
      <c r="C47" s="86"/>
      <c r="D47" s="83" t="s">
        <v>1005</v>
      </c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4"/>
    </row>
    <row r="48">
      <c r="A48" s="77"/>
      <c r="B48" s="77" t="s">
        <v>1006</v>
      </c>
      <c r="C48" s="86"/>
      <c r="D48" s="83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4"/>
    </row>
    <row r="49">
      <c r="A49" s="77"/>
      <c r="B49" s="77" t="s">
        <v>1007</v>
      </c>
      <c r="C49" s="86"/>
      <c r="D49" s="83" t="s">
        <v>1008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4"/>
    </row>
    <row r="50">
      <c r="A50" s="77"/>
      <c r="B50" s="77" t="s">
        <v>1009</v>
      </c>
      <c r="C50" s="85" t="s">
        <v>1010</v>
      </c>
      <c r="D50" s="83" t="s">
        <v>1011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4"/>
    </row>
    <row r="51">
      <c r="A51" s="77"/>
      <c r="B51" s="77" t="s">
        <v>1012</v>
      </c>
      <c r="C51" s="85" t="s">
        <v>1010</v>
      </c>
      <c r="D51" s="83" t="s">
        <v>1013</v>
      </c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4"/>
    </row>
    <row r="52">
      <c r="A52" s="77"/>
      <c r="B52" s="77"/>
      <c r="C52" s="86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>
      <c r="A53" s="92"/>
      <c r="B53" s="92" t="s">
        <v>1014</v>
      </c>
      <c r="C53" s="93" t="s">
        <v>1015</v>
      </c>
      <c r="D53" s="93" t="s">
        <v>1016</v>
      </c>
      <c r="E53" s="93" t="s">
        <v>1017</v>
      </c>
      <c r="F53" s="93" t="s">
        <v>1018</v>
      </c>
      <c r="G53" s="93" t="s">
        <v>1019</v>
      </c>
      <c r="H53" s="93" t="s">
        <v>1020</v>
      </c>
      <c r="I53" s="93" t="s">
        <v>1021</v>
      </c>
      <c r="J53" s="93" t="s">
        <v>1022</v>
      </c>
      <c r="K53" s="93" t="s">
        <v>1036</v>
      </c>
      <c r="L53" s="93" t="s">
        <v>1037</v>
      </c>
      <c r="M53" s="93" t="s">
        <v>1023</v>
      </c>
      <c r="N53" s="93" t="s">
        <v>1024</v>
      </c>
      <c r="O53" s="93" t="s">
        <v>972</v>
      </c>
      <c r="P53" s="93" t="s">
        <v>1025</v>
      </c>
      <c r="Q53" s="93" t="s">
        <v>1026</v>
      </c>
      <c r="R53" s="93" t="s">
        <v>1027</v>
      </c>
    </row>
    <row r="54">
      <c r="A54" s="87"/>
      <c r="B54" s="87"/>
      <c r="C54" s="90" t="s">
        <v>1028</v>
      </c>
      <c r="D54" s="90" t="s">
        <v>1029</v>
      </c>
      <c r="E54" s="90" t="s">
        <v>1030</v>
      </c>
      <c r="F54" s="90">
        <v>1.0</v>
      </c>
      <c r="G54" s="97">
        <v>500.0</v>
      </c>
      <c r="H54" s="88">
        <f t="shared" ref="H54:H55" si="1">(G54*1.1)*1.18</f>
        <v>649</v>
      </c>
      <c r="I54" s="90">
        <v>0.0</v>
      </c>
      <c r="J54" s="88">
        <f t="shared" ref="J54:J55" si="2">F54*G54</f>
        <v>500</v>
      </c>
      <c r="K54" s="90">
        <v>1.0</v>
      </c>
      <c r="L54" s="88">
        <f t="shared" ref="L54:L55" si="3">J54*0.1</f>
        <v>50</v>
      </c>
      <c r="M54" s="90">
        <v>1.0</v>
      </c>
      <c r="N54" s="88">
        <f t="shared" ref="N54:N55" si="4">(J54+L54)*0.18</f>
        <v>99</v>
      </c>
      <c r="O54" s="88">
        <f t="shared" ref="O54:O55" si="5">J54+L54+N54</f>
        <v>649</v>
      </c>
      <c r="P54" s="88"/>
      <c r="Q54" s="88"/>
      <c r="R54" s="88"/>
    </row>
    <row r="55">
      <c r="A55" s="87"/>
      <c r="B55" s="87"/>
      <c r="C55" s="90" t="s">
        <v>1031</v>
      </c>
      <c r="D55" s="90" t="s">
        <v>1032</v>
      </c>
      <c r="E55" s="90" t="s">
        <v>1033</v>
      </c>
      <c r="F55" s="90">
        <v>5.0</v>
      </c>
      <c r="G55" s="90">
        <v>20.0</v>
      </c>
      <c r="H55" s="88">
        <f t="shared" si="1"/>
        <v>25.96</v>
      </c>
      <c r="I55" s="90">
        <v>0.0</v>
      </c>
      <c r="J55" s="88">
        <f t="shared" si="2"/>
        <v>100</v>
      </c>
      <c r="K55" s="90">
        <v>1.0</v>
      </c>
      <c r="L55" s="88">
        <f t="shared" si="3"/>
        <v>10</v>
      </c>
      <c r="M55" s="90">
        <v>1.0</v>
      </c>
      <c r="N55" s="88">
        <f t="shared" si="4"/>
        <v>19.8</v>
      </c>
      <c r="O55" s="88">
        <f t="shared" si="5"/>
        <v>129.8</v>
      </c>
      <c r="P55" s="88"/>
      <c r="Q55" s="88"/>
      <c r="R55" s="88"/>
    </row>
    <row r="56">
      <c r="A56" s="87"/>
      <c r="B56" s="94" t="s">
        <v>1034</v>
      </c>
      <c r="C56" s="81"/>
      <c r="D56" s="81"/>
      <c r="E56" s="81"/>
      <c r="F56" s="81"/>
      <c r="G56" s="81"/>
      <c r="H56" s="84"/>
      <c r="I56" s="95">
        <f t="shared" ref="I56:L56" si="6">SUM(I54:I55)</f>
        <v>0</v>
      </c>
      <c r="J56" s="95">
        <f t="shared" si="6"/>
        <v>600</v>
      </c>
      <c r="K56" s="95">
        <f t="shared" si="6"/>
        <v>2</v>
      </c>
      <c r="L56" s="95">
        <f t="shared" si="6"/>
        <v>60</v>
      </c>
      <c r="M56" s="95"/>
      <c r="N56" s="95">
        <f t="shared" ref="N56:O56" si="7">SUM(N54:N55)</f>
        <v>118.8</v>
      </c>
      <c r="O56" s="95">
        <f t="shared" si="7"/>
        <v>778.8</v>
      </c>
      <c r="P56" s="95"/>
      <c r="Q56" s="95"/>
      <c r="R56" s="95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</row>
    <row r="58">
      <c r="A58" s="77"/>
      <c r="B58" s="77"/>
      <c r="C58" s="86"/>
      <c r="D58" s="86"/>
      <c r="E58" s="86"/>
      <c r="F58" s="86"/>
      <c r="G58" s="85"/>
      <c r="H58" s="85"/>
      <c r="I58" s="86"/>
      <c r="J58" s="86"/>
      <c r="K58" s="86"/>
      <c r="L58" s="86"/>
      <c r="M58" s="86"/>
      <c r="N58" s="86"/>
      <c r="O58" s="86"/>
      <c r="P58" s="86"/>
      <c r="Q58" s="86"/>
      <c r="R58" s="86"/>
    </row>
    <row r="59">
      <c r="A59" s="77"/>
      <c r="B59" s="77"/>
      <c r="C59" s="86"/>
      <c r="D59" s="86"/>
      <c r="E59" s="86"/>
      <c r="F59" s="86"/>
      <c r="G59" s="85"/>
      <c r="H59" s="85"/>
      <c r="I59" s="86"/>
      <c r="J59" s="86"/>
      <c r="K59" s="86"/>
      <c r="L59" s="86"/>
      <c r="M59" s="86"/>
      <c r="N59" s="86"/>
      <c r="O59" s="86"/>
      <c r="P59" s="86"/>
      <c r="Q59" s="86"/>
      <c r="R59" s="86"/>
    </row>
    <row r="60">
      <c r="A60" s="77"/>
      <c r="B60" s="77"/>
      <c r="C60" s="86"/>
      <c r="D60" s="86"/>
      <c r="E60" s="86"/>
      <c r="F60" s="86"/>
      <c r="G60" s="85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</row>
    <row r="67">
      <c r="A67" s="77"/>
      <c r="B67" s="77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</row>
    <row r="1003">
      <c r="A1003" s="96"/>
      <c r="B1003" s="9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</row>
  </sheetData>
  <mergeCells count="51">
    <mergeCell ref="D1:R1"/>
    <mergeCell ref="D2:R2"/>
    <mergeCell ref="D3:R3"/>
    <mergeCell ref="D4:R4"/>
    <mergeCell ref="D5:R5"/>
    <mergeCell ref="D6:R6"/>
    <mergeCell ref="D7:R7"/>
    <mergeCell ref="D8:R8"/>
    <mergeCell ref="D9:R9"/>
    <mergeCell ref="D10:R10"/>
    <mergeCell ref="D11:R11"/>
    <mergeCell ref="D12:R12"/>
    <mergeCell ref="D13:R13"/>
    <mergeCell ref="D14:R14"/>
    <mergeCell ref="D15:R15"/>
    <mergeCell ref="D16:R16"/>
    <mergeCell ref="D17:R17"/>
    <mergeCell ref="D18:R18"/>
    <mergeCell ref="D19:R19"/>
    <mergeCell ref="D20:R20"/>
    <mergeCell ref="D21:R21"/>
    <mergeCell ref="D22:R22"/>
    <mergeCell ref="D23:R23"/>
    <mergeCell ref="D24:R24"/>
    <mergeCell ref="D26:R26"/>
    <mergeCell ref="D27:R27"/>
    <mergeCell ref="D28:R28"/>
    <mergeCell ref="D29:R29"/>
    <mergeCell ref="D30:R30"/>
    <mergeCell ref="D31:R31"/>
    <mergeCell ref="D32:R32"/>
    <mergeCell ref="D33:R33"/>
    <mergeCell ref="D34:R34"/>
    <mergeCell ref="D35:R35"/>
    <mergeCell ref="D36:R36"/>
    <mergeCell ref="D37:R37"/>
    <mergeCell ref="D38:R38"/>
    <mergeCell ref="D39:R39"/>
    <mergeCell ref="D40:R40"/>
    <mergeCell ref="D41:R41"/>
    <mergeCell ref="D42:R42"/>
    <mergeCell ref="D43:R43"/>
    <mergeCell ref="D51:R51"/>
    <mergeCell ref="B56:H56"/>
    <mergeCell ref="D44:R44"/>
    <mergeCell ref="D45:R45"/>
    <mergeCell ref="D46:R46"/>
    <mergeCell ref="D47:R47"/>
    <mergeCell ref="D48:R48"/>
    <mergeCell ref="D49:R49"/>
    <mergeCell ref="D50:R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4" width="11.57"/>
    <col customWidth="1" min="15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98" t="s">
        <v>1038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90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90">
        <v>500.0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90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590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1039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1032</v>
      </c>
      <c r="E53" s="90" t="s">
        <v>1040</v>
      </c>
      <c r="F53" s="90">
        <v>1.0</v>
      </c>
      <c r="G53" s="90">
        <v>500.0</v>
      </c>
      <c r="H53" s="90">
        <v>590.0</v>
      </c>
      <c r="I53" s="90">
        <v>0.0</v>
      </c>
      <c r="J53" s="90">
        <v>500.0</v>
      </c>
      <c r="K53" s="90">
        <v>1.0</v>
      </c>
      <c r="L53" s="90">
        <v>90.0</v>
      </c>
      <c r="M53" s="90">
        <v>590.0</v>
      </c>
      <c r="N53" s="99"/>
      <c r="O53" s="100"/>
      <c r="P53" s="100"/>
    </row>
    <row r="54">
      <c r="A54" s="87"/>
      <c r="B54" s="87"/>
      <c r="C54" s="90"/>
      <c r="D54" s="90"/>
      <c r="E54" s="90"/>
      <c r="F54" s="90"/>
      <c r="G54" s="90"/>
      <c r="H54" s="88"/>
      <c r="I54" s="90"/>
      <c r="J54" s="88"/>
      <c r="K54" s="90"/>
      <c r="L54" s="88"/>
      <c r="M54" s="88"/>
      <c r="N54" s="99"/>
      <c r="O54" s="87"/>
      <c r="P54" s="87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1">SUM(I53:I54)</f>
        <v>0</v>
      </c>
      <c r="J55" s="95">
        <f t="shared" si="1"/>
        <v>500</v>
      </c>
      <c r="K55" s="95"/>
      <c r="L55" s="95">
        <f t="shared" ref="L55:M55" si="2">SUM(L53:L54)</f>
        <v>90</v>
      </c>
      <c r="M55" s="95">
        <f t="shared" si="2"/>
        <v>590</v>
      </c>
      <c r="N55" s="95"/>
      <c r="O55" s="101"/>
      <c r="P55" s="101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4" width="11.57"/>
    <col customWidth="1" min="15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102" t="s">
        <v>1038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90">
        <v>500.0</v>
      </c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90">
        <f>J53-C21</f>
        <v>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(C22*0.18)</f>
        <v>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1041</v>
      </c>
      <c r="F53" s="90">
        <v>1.0</v>
      </c>
      <c r="G53" s="90">
        <v>500.0</v>
      </c>
      <c r="H53" s="90">
        <v>590.0</v>
      </c>
      <c r="I53" s="90">
        <v>0.0</v>
      </c>
      <c r="J53" s="88">
        <f t="shared" ref="J53:J54" si="1">F53*G53</f>
        <v>500</v>
      </c>
      <c r="K53" s="90">
        <v>1.0</v>
      </c>
      <c r="L53" s="88">
        <f t="shared" ref="L53:L54" si="2">J53*0.18</f>
        <v>90</v>
      </c>
      <c r="M53" s="88">
        <f t="shared" ref="M53:M54" si="3">J53+L53</f>
        <v>590</v>
      </c>
      <c r="N53" s="99"/>
      <c r="O53" s="100"/>
      <c r="P53" s="100"/>
    </row>
    <row r="54">
      <c r="A54" s="87"/>
      <c r="B54" s="87"/>
      <c r="C54" s="90" t="s">
        <v>1028</v>
      </c>
      <c r="D54" s="90" t="s">
        <v>1032</v>
      </c>
      <c r="E54" s="90" t="s">
        <v>1042</v>
      </c>
      <c r="F54" s="90">
        <v>1.0</v>
      </c>
      <c r="G54" s="90">
        <v>500.0</v>
      </c>
      <c r="H54" s="88">
        <f>G54*1.18</f>
        <v>590</v>
      </c>
      <c r="I54" s="90">
        <v>0.0</v>
      </c>
      <c r="J54" s="88">
        <f t="shared" si="1"/>
        <v>500</v>
      </c>
      <c r="K54" s="90">
        <v>1.0</v>
      </c>
      <c r="L54" s="88">
        <f t="shared" si="2"/>
        <v>90</v>
      </c>
      <c r="M54" s="88">
        <f t="shared" si="3"/>
        <v>590</v>
      </c>
      <c r="N54" s="99" t="s">
        <v>1039</v>
      </c>
      <c r="O54" s="87" t="s">
        <v>1043</v>
      </c>
      <c r="P54" s="87">
        <v>14.0</v>
      </c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>SUM(I53:I54)</f>
        <v>0</v>
      </c>
      <c r="J55" s="103">
        <v>0.0</v>
      </c>
      <c r="K55" s="95"/>
      <c r="L55" s="103">
        <v>0.0</v>
      </c>
      <c r="M55" s="103">
        <v>0.0</v>
      </c>
      <c r="N55" s="95"/>
      <c r="O55" s="101"/>
      <c r="P55" s="101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934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>
        <f>J55</f>
        <v>500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90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590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 t="shared" ref="H53:H54" si="1">G53*1.18</f>
        <v>590</v>
      </c>
      <c r="I53" s="90">
        <v>0.0</v>
      </c>
      <c r="J53" s="88">
        <f t="shared" ref="J53:J54" si="2">F53*G53</f>
        <v>500</v>
      </c>
      <c r="K53" s="90">
        <v>1.0</v>
      </c>
      <c r="L53" s="88">
        <f t="shared" ref="L53:L54" si="3">J53*0.18</f>
        <v>90</v>
      </c>
      <c r="M53" s="88">
        <f t="shared" ref="M53:M54" si="4">J53+L53</f>
        <v>590</v>
      </c>
      <c r="N53" s="88"/>
      <c r="O53" s="88"/>
      <c r="P53" s="88"/>
    </row>
    <row r="54">
      <c r="A54" s="87"/>
      <c r="B54" s="87"/>
      <c r="C54" s="90"/>
      <c r="D54" s="90"/>
      <c r="E54" s="90"/>
      <c r="F54" s="90"/>
      <c r="G54" s="90"/>
      <c r="H54" s="88">
        <f t="shared" si="1"/>
        <v>0</v>
      </c>
      <c r="I54" s="90">
        <v>0.0</v>
      </c>
      <c r="J54" s="88">
        <f t="shared" si="2"/>
        <v>0</v>
      </c>
      <c r="K54" s="90"/>
      <c r="L54" s="88">
        <f t="shared" si="3"/>
        <v>0</v>
      </c>
      <c r="M54" s="88">
        <f t="shared" si="4"/>
        <v>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5">SUM(I53:I54)</f>
        <v>0</v>
      </c>
      <c r="J55" s="95">
        <f t="shared" si="5"/>
        <v>500</v>
      </c>
      <c r="K55" s="95"/>
      <c r="L55" s="95">
        <f t="shared" ref="L55:M55" si="6">SUM(L53:L54)</f>
        <v>90</v>
      </c>
      <c r="M55" s="95">
        <f t="shared" si="6"/>
        <v>590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87" t="s">
        <v>1044</v>
      </c>
      <c r="C58" s="104" t="s">
        <v>1045</v>
      </c>
      <c r="D58" s="105" t="s">
        <v>1046</v>
      </c>
      <c r="E58" s="84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87"/>
      <c r="C59" s="99">
        <v>1.0</v>
      </c>
      <c r="D59" s="106" t="s">
        <v>1047</v>
      </c>
      <c r="E59" s="84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5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3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58:E58"/>
    <mergeCell ref="D59:E59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1048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102">
        <v>3.276</v>
      </c>
      <c r="D17" s="83" t="s">
        <v>1049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>
        <f>J55</f>
        <v>600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108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708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 t="shared" ref="H53:H54" si="1">G53*1.18</f>
        <v>590</v>
      </c>
      <c r="I53" s="90">
        <v>0.0</v>
      </c>
      <c r="J53" s="88">
        <f t="shared" ref="J53:J54" si="2">F53*G53</f>
        <v>500</v>
      </c>
      <c r="K53" s="90">
        <v>1.0</v>
      </c>
      <c r="L53" s="88">
        <f t="shared" ref="L53:L54" si="3">J53*0.18</f>
        <v>90</v>
      </c>
      <c r="M53" s="88">
        <f t="shared" ref="M53:M54" si="4">J53+L53</f>
        <v>590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 t="shared" si="1"/>
        <v>23.6</v>
      </c>
      <c r="I54" s="90">
        <v>0.0</v>
      </c>
      <c r="J54" s="88">
        <f t="shared" si="2"/>
        <v>100</v>
      </c>
      <c r="K54" s="90">
        <v>1.0</v>
      </c>
      <c r="L54" s="88">
        <f t="shared" si="3"/>
        <v>18</v>
      </c>
      <c r="M54" s="88">
        <f t="shared" si="4"/>
        <v>118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5">SUM(I53:I54)</f>
        <v>0</v>
      </c>
      <c r="J55" s="95">
        <f t="shared" si="5"/>
        <v>600</v>
      </c>
      <c r="K55" s="95"/>
      <c r="L55" s="95">
        <f t="shared" ref="L55:M55" si="6">SUM(L53:L54)</f>
        <v>108</v>
      </c>
      <c r="M55" s="95">
        <f t="shared" si="6"/>
        <v>708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1050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100">
        <f>J55</f>
        <v>600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87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87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100">
        <f>C22*0.18</f>
        <v>108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87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87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87">
        <f>C22+C23+C24+C25+C27</f>
        <v>708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7">
        <v>1.0</v>
      </c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90">
        <v>708.0</v>
      </c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90">
        <v>14.16</v>
      </c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90">
        <v>722.16</v>
      </c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600.0</v>
      </c>
      <c r="H53" s="88">
        <f t="shared" ref="H53:H54" si="1">G53*1.18</f>
        <v>708</v>
      </c>
      <c r="I53" s="90">
        <v>0.0</v>
      </c>
      <c r="J53" s="88">
        <f t="shared" ref="J53:J54" si="2">F53*G53</f>
        <v>600</v>
      </c>
      <c r="K53" s="90">
        <v>1.0</v>
      </c>
      <c r="L53" s="88">
        <f t="shared" ref="L53:L54" si="3">J53*0.18</f>
        <v>108</v>
      </c>
      <c r="M53" s="88">
        <f t="shared" ref="M53:M54" si="4">J53+L53</f>
        <v>708</v>
      </c>
      <c r="N53" s="88"/>
      <c r="O53" s="88"/>
      <c r="P53" s="88"/>
    </row>
    <row r="54">
      <c r="A54" s="87"/>
      <c r="B54" s="87"/>
      <c r="C54" s="90"/>
      <c r="D54" s="90"/>
      <c r="E54" s="90"/>
      <c r="F54" s="90"/>
      <c r="G54" s="90"/>
      <c r="H54" s="88">
        <f t="shared" si="1"/>
        <v>0</v>
      </c>
      <c r="I54" s="90">
        <v>0.0</v>
      </c>
      <c r="J54" s="88">
        <f t="shared" si="2"/>
        <v>0</v>
      </c>
      <c r="K54" s="90">
        <v>1.0</v>
      </c>
      <c r="L54" s="88">
        <f t="shared" si="3"/>
        <v>0</v>
      </c>
      <c r="M54" s="88">
        <f t="shared" si="4"/>
        <v>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5">SUM(I53:I54)</f>
        <v>0</v>
      </c>
      <c r="J55" s="95">
        <f t="shared" si="5"/>
        <v>600</v>
      </c>
      <c r="K55" s="95"/>
      <c r="L55" s="95">
        <f t="shared" ref="L55:M55" si="6">SUM(L53:L54)</f>
        <v>108</v>
      </c>
      <c r="M55" s="95">
        <f t="shared" si="6"/>
        <v>708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85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85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>
        <f>J55</f>
        <v>600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108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20.0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728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>G53*1.18</f>
        <v>590</v>
      </c>
      <c r="I53" s="90">
        <v>0.0</v>
      </c>
      <c r="J53" s="88">
        <f t="shared" ref="J53:J54" si="1">F53*G53</f>
        <v>500</v>
      </c>
      <c r="K53" s="90">
        <v>1.0</v>
      </c>
      <c r="L53" s="88">
        <f t="shared" ref="L53:L54" si="2">J53*0.18</f>
        <v>90</v>
      </c>
      <c r="M53" s="88">
        <f t="shared" ref="M53:M54" si="3">J53+L53</f>
        <v>590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>G54</f>
        <v>20</v>
      </c>
      <c r="I54" s="90">
        <v>0.0</v>
      </c>
      <c r="J54" s="88">
        <f t="shared" si="1"/>
        <v>100</v>
      </c>
      <c r="K54" s="90">
        <v>1.0</v>
      </c>
      <c r="L54" s="88">
        <f t="shared" si="2"/>
        <v>18</v>
      </c>
      <c r="M54" s="88">
        <f t="shared" si="3"/>
        <v>118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4">SUM(I53:I54)</f>
        <v>0</v>
      </c>
      <c r="J55" s="95">
        <f t="shared" si="4"/>
        <v>600</v>
      </c>
      <c r="K55" s="95"/>
      <c r="L55" s="95">
        <f t="shared" ref="L55:M55" si="5">SUM(L53:L54)</f>
        <v>108</v>
      </c>
      <c r="M55" s="95">
        <f t="shared" si="5"/>
        <v>708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103">
        <v>100.0</v>
      </c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103">
        <v>100.0</v>
      </c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90">
        <v>400.0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100.0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72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572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>G53*1.18</f>
        <v>590</v>
      </c>
      <c r="I53" s="90"/>
      <c r="J53" s="88">
        <f>F53*G53-I53</f>
        <v>500</v>
      </c>
      <c r="K53" s="90">
        <v>1.0</v>
      </c>
      <c r="L53" s="88">
        <f>J53*0.18</f>
        <v>90</v>
      </c>
      <c r="M53" s="88">
        <f>J53+L53</f>
        <v>590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90">
        <v>20.0</v>
      </c>
      <c r="I54" s="90"/>
      <c r="J54" s="88">
        <f>F54*G54</f>
        <v>100</v>
      </c>
      <c r="K54" s="90">
        <v>9.0</v>
      </c>
      <c r="L54" s="90">
        <v>0.0</v>
      </c>
      <c r="M54" s="90">
        <v>100.0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1">SUM(I53:I54)</f>
        <v>0</v>
      </c>
      <c r="J55" s="95">
        <f t="shared" si="1"/>
        <v>600</v>
      </c>
      <c r="K55" s="95"/>
      <c r="L55" s="95">
        <f t="shared" ref="L55:M55" si="2">SUM(L53:L54)</f>
        <v>90</v>
      </c>
      <c r="M55" s="95">
        <f t="shared" si="2"/>
        <v>690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103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103">
        <v>210.0</v>
      </c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90">
        <f>J53</f>
        <v>300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90.0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54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444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>G53*1.18</f>
        <v>590</v>
      </c>
      <c r="I53" s="90">
        <v>200.0</v>
      </c>
      <c r="J53" s="88">
        <f>F53*G53-I53</f>
        <v>300</v>
      </c>
      <c r="K53" s="90">
        <v>1.0</v>
      </c>
      <c r="L53" s="88">
        <f>J53*0.18</f>
        <v>54</v>
      </c>
      <c r="M53" s="88">
        <f t="shared" ref="M53:M54" si="1">J53+L53</f>
        <v>354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90">
        <v>20.0</v>
      </c>
      <c r="I54" s="90">
        <v>10.0</v>
      </c>
      <c r="J54" s="90">
        <v>90.0</v>
      </c>
      <c r="K54" s="90">
        <v>9.0</v>
      </c>
      <c r="L54" s="90">
        <v>0.0</v>
      </c>
      <c r="M54" s="88">
        <f t="shared" si="1"/>
        <v>90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2">SUM(I53:I54)</f>
        <v>210</v>
      </c>
      <c r="J55" s="95">
        <f t="shared" si="2"/>
        <v>390</v>
      </c>
      <c r="K55" s="95"/>
      <c r="L55" s="95">
        <f t="shared" ref="L55:M55" si="3">SUM(L53:L54)</f>
        <v>54</v>
      </c>
      <c r="M55" s="95">
        <f t="shared" si="3"/>
        <v>444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103">
        <v>100.0</v>
      </c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103">
        <f>I53+I54+C19</f>
        <v>310</v>
      </c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>
        <f>J53-C19</f>
        <v>200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90.0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36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326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>G53*1.18</f>
        <v>590</v>
      </c>
      <c r="I53" s="90">
        <v>200.0</v>
      </c>
      <c r="J53" s="88">
        <f>F53*G53-I53</f>
        <v>300</v>
      </c>
      <c r="K53" s="90">
        <v>1.0</v>
      </c>
      <c r="L53" s="88">
        <f>J53*0.18</f>
        <v>54</v>
      </c>
      <c r="M53" s="88">
        <f t="shared" ref="M53:M54" si="1">J53+L53</f>
        <v>354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90">
        <v>20.0</v>
      </c>
      <c r="I54" s="90">
        <v>10.0</v>
      </c>
      <c r="J54" s="90">
        <v>90.0</v>
      </c>
      <c r="K54" s="90">
        <v>9.0</v>
      </c>
      <c r="L54" s="90">
        <v>0.0</v>
      </c>
      <c r="M54" s="88">
        <f t="shared" si="1"/>
        <v>90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2">SUM(I53:I54)</f>
        <v>210</v>
      </c>
      <c r="J55" s="95">
        <f t="shared" si="2"/>
        <v>390</v>
      </c>
      <c r="K55" s="95"/>
      <c r="L55" s="95">
        <f t="shared" ref="L55:M55" si="3">SUM(L53:L54)</f>
        <v>54</v>
      </c>
      <c r="M55" s="95">
        <f t="shared" si="3"/>
        <v>444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>
        <f>G53</f>
        <v>500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90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100.0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590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>G53*1.18</f>
        <v>590</v>
      </c>
      <c r="I53" s="90">
        <v>0.0</v>
      </c>
      <c r="J53" s="88">
        <f t="shared" ref="J53:J54" si="1">F53*G53</f>
        <v>500</v>
      </c>
      <c r="K53" s="90">
        <v>1.0</v>
      </c>
      <c r="L53" s="88">
        <f>J53*0.18</f>
        <v>90</v>
      </c>
      <c r="M53" s="88">
        <f t="shared" ref="M53:M54" si="2">J53+L53</f>
        <v>590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>G54</f>
        <v>20</v>
      </c>
      <c r="I54" s="90">
        <v>0.0</v>
      </c>
      <c r="J54" s="88">
        <f t="shared" si="1"/>
        <v>100</v>
      </c>
      <c r="K54" s="90">
        <v>6.0</v>
      </c>
      <c r="L54" s="90">
        <v>0.0</v>
      </c>
      <c r="M54" s="88">
        <f t="shared" si="2"/>
        <v>100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3">SUM(I53:I54)</f>
        <v>0</v>
      </c>
      <c r="J55" s="95">
        <f t="shared" si="3"/>
        <v>600</v>
      </c>
      <c r="K55" s="95"/>
      <c r="L55" s="95">
        <f t="shared" ref="L55:M55" si="4">SUM(L53:L54)</f>
        <v>90</v>
      </c>
      <c r="M55" s="95">
        <f t="shared" si="4"/>
        <v>690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1048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1051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1052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1053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1054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1048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90">
        <v>0.0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100.0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100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1031</v>
      </c>
      <c r="D53" s="90" t="s">
        <v>1032</v>
      </c>
      <c r="E53" s="90" t="s">
        <v>1033</v>
      </c>
      <c r="F53" s="90">
        <v>5.0</v>
      </c>
      <c r="G53" s="90">
        <v>20.0</v>
      </c>
      <c r="H53" s="88">
        <f>G53</f>
        <v>20</v>
      </c>
      <c r="I53" s="90">
        <v>0.0</v>
      </c>
      <c r="J53" s="88">
        <f t="shared" ref="J53:J54" si="1">F53*G53</f>
        <v>100</v>
      </c>
      <c r="K53" s="90">
        <v>16.0</v>
      </c>
      <c r="L53" s="90">
        <v>0.0</v>
      </c>
      <c r="M53" s="88">
        <f t="shared" ref="M53:M54" si="2">J53+L53</f>
        <v>100</v>
      </c>
      <c r="N53" s="88"/>
      <c r="O53" s="88"/>
      <c r="P53" s="88"/>
    </row>
    <row r="54">
      <c r="A54" s="87"/>
      <c r="B54" s="87"/>
      <c r="C54" s="90"/>
      <c r="D54" s="90"/>
      <c r="E54" s="90"/>
      <c r="F54" s="90"/>
      <c r="G54" s="90"/>
      <c r="H54" s="88">
        <f>G54*1.18</f>
        <v>0</v>
      </c>
      <c r="I54" s="90">
        <v>0.0</v>
      </c>
      <c r="J54" s="88">
        <f t="shared" si="1"/>
        <v>0</v>
      </c>
      <c r="K54" s="90"/>
      <c r="L54" s="88">
        <f>J54*0.18</f>
        <v>0</v>
      </c>
      <c r="M54" s="88">
        <f t="shared" si="2"/>
        <v>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3">SUM(I53:I54)</f>
        <v>0</v>
      </c>
      <c r="J55" s="95">
        <f t="shared" si="3"/>
        <v>100</v>
      </c>
      <c r="K55" s="95"/>
      <c r="L55" s="95">
        <f t="shared" ref="L55:M55" si="4">SUM(L53:L54)</f>
        <v>0</v>
      </c>
      <c r="M55" s="95">
        <f t="shared" si="4"/>
        <v>100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/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600.0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 t="shared" ref="H53:H54" si="1">G53</f>
        <v>500</v>
      </c>
      <c r="I53" s="90">
        <v>0.0</v>
      </c>
      <c r="J53" s="88">
        <f t="shared" ref="J53:J54" si="2">F53*G53</f>
        <v>500</v>
      </c>
      <c r="K53" s="103">
        <v>11.0</v>
      </c>
      <c r="L53" s="90">
        <v>0.0</v>
      </c>
      <c r="M53" s="88">
        <f t="shared" ref="M53:M54" si="3">J53+L53</f>
        <v>500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 t="shared" si="1"/>
        <v>20</v>
      </c>
      <c r="I54" s="90">
        <v>0.0</v>
      </c>
      <c r="J54" s="88">
        <f t="shared" si="2"/>
        <v>100</v>
      </c>
      <c r="K54" s="103">
        <v>11.0</v>
      </c>
      <c r="L54" s="90">
        <v>0.0</v>
      </c>
      <c r="M54" s="88">
        <f t="shared" si="3"/>
        <v>100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4">SUM(I53:I54)</f>
        <v>0</v>
      </c>
      <c r="J55" s="95">
        <f t="shared" si="4"/>
        <v>600</v>
      </c>
      <c r="K55" s="95"/>
      <c r="L55" s="95">
        <f t="shared" ref="L55:M55" si="5">SUM(L53:L54)</f>
        <v>0</v>
      </c>
      <c r="M55" s="95">
        <f t="shared" si="5"/>
        <v>600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/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600.0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600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 t="shared" ref="H53:H54" si="1">G53</f>
        <v>500</v>
      </c>
      <c r="I53" s="90">
        <v>0.0</v>
      </c>
      <c r="J53" s="88">
        <f t="shared" ref="J53:J54" si="2">F53*G53</f>
        <v>500</v>
      </c>
      <c r="K53" s="90">
        <v>9.0</v>
      </c>
      <c r="L53" s="90">
        <v>0.0</v>
      </c>
      <c r="M53" s="88">
        <f t="shared" ref="M53:M54" si="3">J53+L53</f>
        <v>500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 t="shared" si="1"/>
        <v>20</v>
      </c>
      <c r="I54" s="90">
        <v>0.0</v>
      </c>
      <c r="J54" s="88">
        <f t="shared" si="2"/>
        <v>100</v>
      </c>
      <c r="K54" s="90">
        <v>9.0</v>
      </c>
      <c r="L54" s="90">
        <v>0.0</v>
      </c>
      <c r="M54" s="88">
        <f t="shared" si="3"/>
        <v>100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4">SUM(I53:I54)</f>
        <v>0</v>
      </c>
      <c r="J55" s="95">
        <f t="shared" si="4"/>
        <v>600</v>
      </c>
      <c r="K55" s="95"/>
      <c r="L55" s="95">
        <f t="shared" ref="L55:M55" si="5">SUM(L53:L54)</f>
        <v>0</v>
      </c>
      <c r="M55" s="95">
        <f t="shared" si="5"/>
        <v>600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7.14"/>
    <col customWidth="1" min="14" max="16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>
      <c r="A22" s="87"/>
      <c r="B22" s="87" t="s">
        <v>965</v>
      </c>
      <c r="C22" s="88"/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>
      <c r="A24" s="87"/>
      <c r="B24" s="87" t="s">
        <v>967</v>
      </c>
      <c r="C24" s="90">
        <v>600.0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>
      <c r="A25" s="87"/>
      <c r="B25" s="87" t="s">
        <v>968</v>
      </c>
      <c r="C25" s="88">
        <f>C22*0.18</f>
        <v>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>
      <c r="A27" s="87"/>
      <c r="B27" s="87" t="s">
        <v>971</v>
      </c>
      <c r="C27" s="90">
        <v>0.0</v>
      </c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>
      <c r="A28" s="87"/>
      <c r="B28" s="87" t="s">
        <v>972</v>
      </c>
      <c r="C28" s="90">
        <f>C22+C23+C24+C25+C27</f>
        <v>600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93" t="s">
        <v>972</v>
      </c>
      <c r="N52" s="93" t="s">
        <v>1025</v>
      </c>
      <c r="O52" s="93" t="s">
        <v>1026</v>
      </c>
      <c r="P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 t="shared" ref="H53:H54" si="1">G53</f>
        <v>500</v>
      </c>
      <c r="I53" s="90">
        <v>0.0</v>
      </c>
      <c r="J53" s="88">
        <f t="shared" ref="J53:J54" si="2">F53*G53</f>
        <v>500</v>
      </c>
      <c r="K53" s="90">
        <v>8.0</v>
      </c>
      <c r="L53" s="90">
        <v>0.0</v>
      </c>
      <c r="M53" s="88">
        <f t="shared" ref="M53:M54" si="3">J53+L53</f>
        <v>500</v>
      </c>
      <c r="N53" s="88"/>
      <c r="O53" s="88"/>
      <c r="P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 t="shared" si="1"/>
        <v>20</v>
      </c>
      <c r="I54" s="90">
        <v>0.0</v>
      </c>
      <c r="J54" s="88">
        <f t="shared" si="2"/>
        <v>100</v>
      </c>
      <c r="K54" s="90">
        <v>8.0</v>
      </c>
      <c r="L54" s="90">
        <v>0.0</v>
      </c>
      <c r="M54" s="88">
        <f t="shared" si="3"/>
        <v>100</v>
      </c>
      <c r="N54" s="88"/>
      <c r="O54" s="88"/>
      <c r="P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4">SUM(I53:I54)</f>
        <v>0</v>
      </c>
      <c r="J55" s="95">
        <f t="shared" si="4"/>
        <v>600</v>
      </c>
      <c r="K55" s="95"/>
      <c r="L55" s="95">
        <f t="shared" ref="L55:M55" si="5">SUM(L53:L54)</f>
        <v>0</v>
      </c>
      <c r="M55" s="95">
        <f t="shared" si="5"/>
        <v>600</v>
      </c>
      <c r="N55" s="95"/>
      <c r="O55" s="95"/>
      <c r="P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</row>
  </sheetData>
  <mergeCells count="51">
    <mergeCell ref="D1:P1"/>
    <mergeCell ref="D2:P2"/>
    <mergeCell ref="D3:P3"/>
    <mergeCell ref="D4:P4"/>
    <mergeCell ref="D5:P5"/>
    <mergeCell ref="D6:P6"/>
    <mergeCell ref="D7:P7"/>
    <mergeCell ref="D8:P8"/>
    <mergeCell ref="D9:P9"/>
    <mergeCell ref="D10:P10"/>
    <mergeCell ref="D11:P11"/>
    <mergeCell ref="D12:P12"/>
    <mergeCell ref="D13:P13"/>
    <mergeCell ref="D14:P14"/>
    <mergeCell ref="D15:P15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D27:P27"/>
    <mergeCell ref="D28:P28"/>
    <mergeCell ref="D29:P29"/>
    <mergeCell ref="D30:P30"/>
    <mergeCell ref="D31:P31"/>
    <mergeCell ref="D32:P32"/>
    <mergeCell ref="D33:P33"/>
    <mergeCell ref="D34:P34"/>
    <mergeCell ref="D35:P35"/>
    <mergeCell ref="D36:P36"/>
    <mergeCell ref="D37:P37"/>
    <mergeCell ref="D38:P38"/>
    <mergeCell ref="D39:P39"/>
    <mergeCell ref="D40:P40"/>
    <mergeCell ref="D41:P41"/>
    <mergeCell ref="D42:P42"/>
    <mergeCell ref="D50:P50"/>
    <mergeCell ref="B55:H55"/>
    <mergeCell ref="D43:P43"/>
    <mergeCell ref="D44:P44"/>
    <mergeCell ref="D45:P45"/>
    <mergeCell ref="D46:P46"/>
    <mergeCell ref="D47:P47"/>
    <mergeCell ref="D48:P48"/>
    <mergeCell ref="D49:P4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4.57"/>
    <col customWidth="1" min="13" max="13" width="12.43"/>
    <col customWidth="1" min="14" max="14" width="7.14"/>
    <col customWidth="1" min="15" max="17" width="9.43"/>
  </cols>
  <sheetData>
    <row r="1">
      <c r="A1" s="77" t="s">
        <v>1055</v>
      </c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4"/>
    </row>
    <row r="14">
      <c r="A14" s="77"/>
      <c r="B14" s="77" t="s">
        <v>949</v>
      </c>
      <c r="C14" s="85" t="s">
        <v>1056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4"/>
    </row>
    <row r="15">
      <c r="A15" s="77"/>
      <c r="B15" s="77" t="s">
        <v>952</v>
      </c>
      <c r="C15" s="85" t="s">
        <v>1056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>
      <c r="A22" s="87"/>
      <c r="B22" s="87" t="s">
        <v>965</v>
      </c>
      <c r="C22" s="88">
        <f>J55</f>
        <v>600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</row>
    <row r="25">
      <c r="A25" s="87"/>
      <c r="B25" s="87" t="s">
        <v>968</v>
      </c>
      <c r="C25" s="88">
        <f>C22*0.18</f>
        <v>108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</row>
    <row r="27">
      <c r="A27" s="87"/>
      <c r="B27" s="108" t="s">
        <v>971</v>
      </c>
      <c r="C27" s="109">
        <f>M55</f>
        <v>60</v>
      </c>
      <c r="D27" s="110" t="s">
        <v>1057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</row>
    <row r="28">
      <c r="A28" s="87"/>
      <c r="B28" s="87" t="s">
        <v>972</v>
      </c>
      <c r="C28" s="90">
        <f>C22+C23+C24+C25+C27</f>
        <v>768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111" t="s">
        <v>1058</v>
      </c>
      <c r="N52" s="93" t="s">
        <v>972</v>
      </c>
      <c r="O52" s="93" t="s">
        <v>1025</v>
      </c>
      <c r="P52" s="93" t="s">
        <v>1026</v>
      </c>
      <c r="Q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500.0</v>
      </c>
      <c r="H53" s="88">
        <f>G53*1.18</f>
        <v>590</v>
      </c>
      <c r="I53" s="90">
        <v>0.0</v>
      </c>
      <c r="J53" s="88">
        <f t="shared" ref="J53:J54" si="1">F53*G53</f>
        <v>500</v>
      </c>
      <c r="K53" s="90">
        <v>1.0</v>
      </c>
      <c r="L53" s="88">
        <f t="shared" ref="L53:L54" si="2">J53*0.18</f>
        <v>90</v>
      </c>
      <c r="M53" s="109">
        <f t="shared" ref="M53:M54" si="3">J53*0.1</f>
        <v>50</v>
      </c>
      <c r="N53" s="88">
        <f t="shared" ref="N53:N54" si="4">J53+L53+M53</f>
        <v>640</v>
      </c>
      <c r="O53" s="88"/>
      <c r="P53" s="88"/>
      <c r="Q53" s="88"/>
    </row>
    <row r="54">
      <c r="A54" s="87"/>
      <c r="B54" s="87"/>
      <c r="C54" s="90" t="s">
        <v>1031</v>
      </c>
      <c r="D54" s="90" t="s">
        <v>1032</v>
      </c>
      <c r="E54" s="90" t="s">
        <v>1033</v>
      </c>
      <c r="F54" s="90">
        <v>5.0</v>
      </c>
      <c r="G54" s="90">
        <v>20.0</v>
      </c>
      <c r="H54" s="88">
        <f>G54</f>
        <v>20</v>
      </c>
      <c r="I54" s="90">
        <v>0.0</v>
      </c>
      <c r="J54" s="88">
        <f t="shared" si="1"/>
        <v>100</v>
      </c>
      <c r="K54" s="90">
        <v>1.0</v>
      </c>
      <c r="L54" s="88">
        <f t="shared" si="2"/>
        <v>18</v>
      </c>
      <c r="M54" s="109">
        <f t="shared" si="3"/>
        <v>10</v>
      </c>
      <c r="N54" s="88">
        <f t="shared" si="4"/>
        <v>128</v>
      </c>
      <c r="O54" s="88"/>
      <c r="P54" s="88"/>
      <c r="Q54" s="88"/>
    </row>
    <row r="55">
      <c r="A55" s="87"/>
      <c r="B55" s="94" t="s">
        <v>1034</v>
      </c>
      <c r="C55" s="81"/>
      <c r="D55" s="81"/>
      <c r="E55" s="81"/>
      <c r="F55" s="81"/>
      <c r="G55" s="81"/>
      <c r="H55" s="84"/>
      <c r="I55" s="95">
        <f t="shared" ref="I55:J55" si="5">SUM(I53:I54)</f>
        <v>0</v>
      </c>
      <c r="J55" s="95">
        <f t="shared" si="5"/>
        <v>600</v>
      </c>
      <c r="K55" s="95"/>
      <c r="L55" s="95">
        <f t="shared" ref="L55:N55" si="6">SUM(L53:L54)</f>
        <v>108</v>
      </c>
      <c r="M55" s="112">
        <f t="shared" si="6"/>
        <v>60</v>
      </c>
      <c r="N55" s="95">
        <f t="shared" si="6"/>
        <v>768</v>
      </c>
      <c r="O55" s="95"/>
      <c r="P55" s="95"/>
      <c r="Q55" s="95"/>
    </row>
    <row r="56">
      <c r="A56" s="77"/>
      <c r="B56" s="77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</row>
    <row r="67">
      <c r="A67" s="96"/>
      <c r="B67" s="9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</row>
  </sheetData>
  <mergeCells count="51">
    <mergeCell ref="D1:Q1"/>
    <mergeCell ref="D2:Q2"/>
    <mergeCell ref="D3:Q3"/>
    <mergeCell ref="D4:Q4"/>
    <mergeCell ref="D5:Q5"/>
    <mergeCell ref="D6:Q6"/>
    <mergeCell ref="D7:Q7"/>
    <mergeCell ref="D8:Q8"/>
    <mergeCell ref="D9:Q9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D19:Q19"/>
    <mergeCell ref="D20:Q20"/>
    <mergeCell ref="D21:Q21"/>
    <mergeCell ref="D22:Q22"/>
    <mergeCell ref="D23:Q23"/>
    <mergeCell ref="D24:Q24"/>
    <mergeCell ref="D25:Q25"/>
    <mergeCell ref="D26:Q26"/>
    <mergeCell ref="D27:Q27"/>
    <mergeCell ref="D28:Q28"/>
    <mergeCell ref="D29:Q29"/>
    <mergeCell ref="D30:Q30"/>
    <mergeCell ref="D31:Q31"/>
    <mergeCell ref="D32:Q32"/>
    <mergeCell ref="D33:Q33"/>
    <mergeCell ref="D34:Q34"/>
    <mergeCell ref="D35:Q35"/>
    <mergeCell ref="D36:Q36"/>
    <mergeCell ref="D37:Q37"/>
    <mergeCell ref="D38:Q38"/>
    <mergeCell ref="D39:Q39"/>
    <mergeCell ref="D40:Q40"/>
    <mergeCell ref="D41:Q41"/>
    <mergeCell ref="D42:Q42"/>
    <mergeCell ref="D50:Q50"/>
    <mergeCell ref="B55:H55"/>
    <mergeCell ref="D43:Q43"/>
    <mergeCell ref="D44:Q44"/>
    <mergeCell ref="D45:Q45"/>
    <mergeCell ref="D46:Q46"/>
    <mergeCell ref="D47:Q47"/>
    <mergeCell ref="D48:Q48"/>
    <mergeCell ref="D49:Q4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16.29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11.29"/>
    <col customWidth="1" min="11" max="11" width="11.43"/>
    <col customWidth="1" min="12" max="12" width="8.86"/>
    <col customWidth="1" min="13" max="13" width="12.43"/>
    <col customWidth="1" min="14" max="14" width="7.14"/>
    <col customWidth="1" min="15" max="17" width="9.43"/>
  </cols>
  <sheetData>
    <row r="1">
      <c r="A1" s="77" t="s">
        <v>1055</v>
      </c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4"/>
    </row>
    <row r="14">
      <c r="A14" s="77"/>
      <c r="B14" s="77" t="s">
        <v>949</v>
      </c>
      <c r="C14" s="85" t="s">
        <v>1056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4"/>
    </row>
    <row r="15">
      <c r="A15" s="77"/>
      <c r="B15" s="77" t="s">
        <v>952</v>
      </c>
      <c r="C15" s="85" t="s">
        <v>1056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>
      <c r="A22" s="87"/>
      <c r="B22" s="87" t="s">
        <v>965</v>
      </c>
      <c r="C22" s="88">
        <f>J57</f>
        <v>427.07317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>
      <c r="A23" s="87"/>
      <c r="B23" s="87" t="s">
        <v>966</v>
      </c>
      <c r="C23" s="90">
        <v>0.0</v>
      </c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>
      <c r="A24" s="87"/>
      <c r="B24" s="87" t="s">
        <v>967</v>
      </c>
      <c r="C24" s="90">
        <v>0.0</v>
      </c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</row>
    <row r="25">
      <c r="A25" s="87"/>
      <c r="B25" s="87" t="s">
        <v>968</v>
      </c>
      <c r="C25" s="88">
        <f>C22*0.18</f>
        <v>76.8731706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</row>
    <row r="26">
      <c r="A26" s="87"/>
      <c r="B26" s="87" t="s">
        <v>970</v>
      </c>
      <c r="C26" s="90">
        <v>0.0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</row>
    <row r="27">
      <c r="A27" s="87"/>
      <c r="B27" s="108" t="s">
        <v>971</v>
      </c>
      <c r="C27" s="109">
        <f>M57</f>
        <v>26.35</v>
      </c>
      <c r="D27" s="110" t="s">
        <v>1057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</row>
    <row r="28">
      <c r="A28" s="87"/>
      <c r="B28" s="87" t="s">
        <v>972</v>
      </c>
      <c r="C28" s="90">
        <f>C22+C23+C24+C25+C27</f>
        <v>530.2963406</v>
      </c>
      <c r="D28" s="89" t="s">
        <v>973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</row>
    <row r="29">
      <c r="A29" s="87"/>
      <c r="B29" s="87" t="s">
        <v>974</v>
      </c>
      <c r="C29" s="88"/>
      <c r="D29" s="89" t="s">
        <v>975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</row>
    <row r="30">
      <c r="A30" s="87"/>
      <c r="B30" s="87" t="s">
        <v>976</v>
      </c>
      <c r="C30" s="88"/>
      <c r="D30" s="89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</row>
    <row r="31">
      <c r="A31" s="87"/>
      <c r="B31" s="87" t="s">
        <v>977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</row>
    <row r="32">
      <c r="A32" s="87"/>
      <c r="B32" s="87" t="s">
        <v>978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</row>
    <row r="33">
      <c r="A33" s="77"/>
      <c r="B33" s="77" t="s">
        <v>979</v>
      </c>
      <c r="C33" s="85" t="s">
        <v>980</v>
      </c>
      <c r="D33" s="83" t="s">
        <v>981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4"/>
    </row>
    <row r="34">
      <c r="A34" s="77"/>
      <c r="B34" s="77" t="s">
        <v>982</v>
      </c>
      <c r="C34" s="86"/>
      <c r="D34" s="83" t="s">
        <v>983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4"/>
    </row>
    <row r="35">
      <c r="A35" s="77"/>
      <c r="B35" s="77" t="s">
        <v>984</v>
      </c>
      <c r="C35" s="86"/>
      <c r="D35" s="83" t="s">
        <v>985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4"/>
    </row>
    <row r="36">
      <c r="A36" s="77"/>
      <c r="B36" s="77" t="s">
        <v>986</v>
      </c>
      <c r="C36" s="86"/>
      <c r="D36" s="83" t="s">
        <v>987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4"/>
    </row>
    <row r="37">
      <c r="A37" s="77"/>
      <c r="B37" s="77" t="s">
        <v>988</v>
      </c>
      <c r="C37" s="86"/>
      <c r="D37" s="83" t="s">
        <v>989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4"/>
    </row>
    <row r="38">
      <c r="A38" s="77"/>
      <c r="B38" s="77" t="s">
        <v>990</v>
      </c>
      <c r="C38" s="86"/>
      <c r="D38" s="83" t="s">
        <v>991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4"/>
    </row>
    <row r="39">
      <c r="A39" s="77"/>
      <c r="B39" s="77" t="s">
        <v>992</v>
      </c>
      <c r="C39" s="86"/>
      <c r="D39" s="83" t="s">
        <v>993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4"/>
    </row>
    <row r="40">
      <c r="A40" s="77"/>
      <c r="B40" s="77" t="s">
        <v>994</v>
      </c>
      <c r="C40" s="91" t="s">
        <v>980</v>
      </c>
      <c r="D40" s="83" t="s">
        <v>981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4"/>
    </row>
    <row r="41">
      <c r="A41" s="77"/>
      <c r="B41" s="77" t="s">
        <v>995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4"/>
    </row>
    <row r="42">
      <c r="A42" s="77"/>
      <c r="B42" s="77" t="s">
        <v>996</v>
      </c>
      <c r="C42" s="86"/>
      <c r="D42" s="83" t="s">
        <v>997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4"/>
    </row>
    <row r="43">
      <c r="A43" s="77"/>
      <c r="B43" s="77" t="s">
        <v>998</v>
      </c>
      <c r="C43" s="86"/>
      <c r="D43" s="83" t="s">
        <v>999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4"/>
    </row>
    <row r="44">
      <c r="A44" s="77"/>
      <c r="B44" s="77" t="s">
        <v>1000</v>
      </c>
      <c r="C44" s="86"/>
      <c r="D44" s="83" t="s">
        <v>1001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4"/>
    </row>
    <row r="45">
      <c r="A45" s="77"/>
      <c r="B45" s="77" t="s">
        <v>1002</v>
      </c>
      <c r="C45" s="86"/>
      <c r="D45" s="83" t="s">
        <v>1003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4"/>
    </row>
    <row r="46">
      <c r="A46" s="77"/>
      <c r="B46" s="77" t="s">
        <v>1004</v>
      </c>
      <c r="C46" s="86"/>
      <c r="D46" s="83" t="s">
        <v>1005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4"/>
    </row>
    <row r="47">
      <c r="A47" s="77"/>
      <c r="B47" s="77" t="s">
        <v>1006</v>
      </c>
      <c r="C47" s="86"/>
      <c r="D47" s="83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4"/>
    </row>
    <row r="48">
      <c r="A48" s="77"/>
      <c r="B48" s="77" t="s">
        <v>1007</v>
      </c>
      <c r="C48" s="86"/>
      <c r="D48" s="83" t="s">
        <v>1008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4"/>
    </row>
    <row r="49">
      <c r="A49" s="77"/>
      <c r="B49" s="77" t="s">
        <v>1009</v>
      </c>
      <c r="C49" s="85" t="s">
        <v>1010</v>
      </c>
      <c r="D49" s="83" t="s">
        <v>1011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4"/>
    </row>
    <row r="50">
      <c r="A50" s="77"/>
      <c r="B50" s="77" t="s">
        <v>1012</v>
      </c>
      <c r="C50" s="85" t="s">
        <v>1010</v>
      </c>
      <c r="D50" s="83" t="s">
        <v>1013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4"/>
    </row>
    <row r="51">
      <c r="A51" s="77"/>
      <c r="B51" s="77"/>
      <c r="C51" s="86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</row>
    <row r="52">
      <c r="A52" s="92"/>
      <c r="B52" s="92" t="s">
        <v>1014</v>
      </c>
      <c r="C52" s="93" t="s">
        <v>1015</v>
      </c>
      <c r="D52" s="93" t="s">
        <v>1016</v>
      </c>
      <c r="E52" s="93" t="s">
        <v>1017</v>
      </c>
      <c r="F52" s="93" t="s">
        <v>1018</v>
      </c>
      <c r="G52" s="93" t="s">
        <v>1019</v>
      </c>
      <c r="H52" s="93" t="s">
        <v>1020</v>
      </c>
      <c r="I52" s="93" t="s">
        <v>1021</v>
      </c>
      <c r="J52" s="93" t="s">
        <v>1022</v>
      </c>
      <c r="K52" s="93" t="s">
        <v>1023</v>
      </c>
      <c r="L52" s="93" t="s">
        <v>1024</v>
      </c>
      <c r="M52" s="111" t="s">
        <v>1058</v>
      </c>
      <c r="N52" s="93" t="s">
        <v>972</v>
      </c>
      <c r="O52" s="93" t="s">
        <v>1025</v>
      </c>
      <c r="P52" s="93" t="s">
        <v>1026</v>
      </c>
      <c r="Q52" s="93" t="s">
        <v>1027</v>
      </c>
    </row>
    <row r="53">
      <c r="A53" s="87"/>
      <c r="B53" s="87"/>
      <c r="C53" s="90" t="s">
        <v>1028</v>
      </c>
      <c r="D53" s="90" t="s">
        <v>1029</v>
      </c>
      <c r="E53" s="90" t="s">
        <v>1030</v>
      </c>
      <c r="F53" s="90">
        <v>1.0</v>
      </c>
      <c r="G53" s="90">
        <v>121.138211</v>
      </c>
      <c r="H53" s="90">
        <v>142.94308898</v>
      </c>
      <c r="I53" s="90">
        <v>12.113821</v>
      </c>
      <c r="J53" s="88">
        <f>(F53*G53) - I53</f>
        <v>109.02439</v>
      </c>
      <c r="K53" s="90">
        <v>1.0</v>
      </c>
      <c r="L53" s="88">
        <f t="shared" ref="L53:L56" si="1">J53*0.18</f>
        <v>19.6243902</v>
      </c>
      <c r="M53" s="109">
        <v>5.45</v>
      </c>
      <c r="N53" s="88">
        <f t="shared" ref="N53:N56" si="2">J53+L53+M53</f>
        <v>134.0987802</v>
      </c>
      <c r="O53" s="88"/>
      <c r="P53" s="88"/>
      <c r="Q53" s="88"/>
    </row>
    <row r="54">
      <c r="A54" s="87"/>
      <c r="B54" s="87"/>
      <c r="C54" s="90" t="s">
        <v>1028</v>
      </c>
      <c r="D54" s="90" t="s">
        <v>1029</v>
      </c>
      <c r="E54" s="90" t="s">
        <v>1030</v>
      </c>
      <c r="F54" s="90">
        <v>1.0</v>
      </c>
      <c r="G54" s="90">
        <v>121.138211</v>
      </c>
      <c r="H54" s="90">
        <f>G54*1.18</f>
        <v>142.943089</v>
      </c>
      <c r="I54" s="90">
        <v>12.113821</v>
      </c>
      <c r="J54" s="88">
        <f t="shared" ref="J54:J55" si="3">(G54*F54) -I54</f>
        <v>109.02439</v>
      </c>
      <c r="K54" s="90">
        <v>1.0</v>
      </c>
      <c r="L54" s="88">
        <f t="shared" si="1"/>
        <v>19.6243902</v>
      </c>
      <c r="M54" s="109">
        <v>5.45</v>
      </c>
      <c r="N54" s="88">
        <f t="shared" si="2"/>
        <v>134.0987802</v>
      </c>
      <c r="O54" s="88"/>
      <c r="P54" s="88"/>
      <c r="Q54" s="88"/>
    </row>
    <row r="55">
      <c r="A55" s="87"/>
      <c r="B55" s="87"/>
      <c r="C55" s="90" t="s">
        <v>1028</v>
      </c>
      <c r="D55" s="90" t="s">
        <v>1029</v>
      </c>
      <c r="E55" s="90" t="s">
        <v>1030</v>
      </c>
      <c r="F55" s="90">
        <v>1.0</v>
      </c>
      <c r="G55" s="90">
        <v>121.138211</v>
      </c>
      <c r="H55" s="90">
        <v>142.94308898</v>
      </c>
      <c r="I55" s="90">
        <v>12.113821</v>
      </c>
      <c r="J55" s="88">
        <f t="shared" si="3"/>
        <v>109.02439</v>
      </c>
      <c r="K55" s="90">
        <v>1.0</v>
      </c>
      <c r="L55" s="88">
        <f t="shared" si="1"/>
        <v>19.6243902</v>
      </c>
      <c r="M55" s="109">
        <v>5.45</v>
      </c>
      <c r="N55" s="88">
        <f t="shared" si="2"/>
        <v>134.0987802</v>
      </c>
      <c r="O55" s="88"/>
      <c r="P55" s="88"/>
      <c r="Q55" s="88"/>
    </row>
    <row r="56">
      <c r="A56" s="87"/>
      <c r="B56" s="87"/>
      <c r="C56" s="90" t="s">
        <v>1031</v>
      </c>
      <c r="D56" s="90" t="s">
        <v>1032</v>
      </c>
      <c r="E56" s="90" t="s">
        <v>1033</v>
      </c>
      <c r="F56" s="90">
        <v>5.0</v>
      </c>
      <c r="G56" s="90">
        <v>20.0</v>
      </c>
      <c r="H56" s="88">
        <f>G56</f>
        <v>20</v>
      </c>
      <c r="I56" s="90">
        <v>0.0</v>
      </c>
      <c r="J56" s="88">
        <f>F56*G56</f>
        <v>100</v>
      </c>
      <c r="K56" s="90">
        <v>1.0</v>
      </c>
      <c r="L56" s="88">
        <f t="shared" si="1"/>
        <v>18</v>
      </c>
      <c r="M56" s="109">
        <f>J56*0.1</f>
        <v>10</v>
      </c>
      <c r="N56" s="88">
        <f t="shared" si="2"/>
        <v>128</v>
      </c>
      <c r="O56" s="88"/>
      <c r="P56" s="88"/>
      <c r="Q56" s="88"/>
    </row>
    <row r="57">
      <c r="A57" s="87"/>
      <c r="B57" s="94" t="s">
        <v>1034</v>
      </c>
      <c r="C57" s="81"/>
      <c r="D57" s="81"/>
      <c r="E57" s="81"/>
      <c r="F57" s="81"/>
      <c r="G57" s="81"/>
      <c r="H57" s="84"/>
      <c r="I57" s="95">
        <f t="shared" ref="I57:J57" si="4">SUM(I53:I56)</f>
        <v>36.341463</v>
      </c>
      <c r="J57" s="95">
        <f t="shared" si="4"/>
        <v>427.07317</v>
      </c>
      <c r="K57" s="95"/>
      <c r="L57" s="95">
        <f t="shared" ref="L57:N57" si="5">SUM(L53:L56)</f>
        <v>76.8731706</v>
      </c>
      <c r="M57" s="112">
        <f t="shared" si="5"/>
        <v>26.35</v>
      </c>
      <c r="N57" s="95">
        <f t="shared" si="5"/>
        <v>530.2963406</v>
      </c>
      <c r="O57" s="95"/>
      <c r="P57" s="95"/>
      <c r="Q57" s="95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</row>
    <row r="67">
      <c r="A67" s="77"/>
      <c r="B67" s="77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</row>
    <row r="68">
      <c r="A68" s="77"/>
      <c r="B68" s="77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</row>
    <row r="1003">
      <c r="A1003" s="96"/>
      <c r="B1003" s="9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</row>
    <row r="1004">
      <c r="A1004" s="96"/>
      <c r="B1004" s="9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</row>
  </sheetData>
  <mergeCells count="51">
    <mergeCell ref="D1:Q1"/>
    <mergeCell ref="D2:Q2"/>
    <mergeCell ref="D3:Q3"/>
    <mergeCell ref="D4:Q4"/>
    <mergeCell ref="D5:Q5"/>
    <mergeCell ref="D6:Q6"/>
    <mergeCell ref="D7:Q7"/>
    <mergeCell ref="D8:Q8"/>
    <mergeCell ref="D9:Q9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D19:Q19"/>
    <mergeCell ref="D20:Q20"/>
    <mergeCell ref="D21:Q21"/>
    <mergeCell ref="D22:Q22"/>
    <mergeCell ref="D23:Q23"/>
    <mergeCell ref="D24:Q24"/>
    <mergeCell ref="D25:Q25"/>
    <mergeCell ref="D26:Q26"/>
    <mergeCell ref="D27:Q27"/>
    <mergeCell ref="D28:Q28"/>
    <mergeCell ref="D29:Q29"/>
    <mergeCell ref="D30:Q30"/>
    <mergeCell ref="D31:Q31"/>
    <mergeCell ref="D32:Q32"/>
    <mergeCell ref="D33:Q33"/>
    <mergeCell ref="D34:Q34"/>
    <mergeCell ref="D35:Q35"/>
    <mergeCell ref="D36:Q36"/>
    <mergeCell ref="D37:Q37"/>
    <mergeCell ref="D38:Q38"/>
    <mergeCell ref="D39:Q39"/>
    <mergeCell ref="D40:Q40"/>
    <mergeCell ref="D41:Q41"/>
    <mergeCell ref="D42:Q42"/>
    <mergeCell ref="D50:Q50"/>
    <mergeCell ref="B57:H57"/>
    <mergeCell ref="D43:Q43"/>
    <mergeCell ref="D44:Q44"/>
    <mergeCell ref="D45:Q45"/>
    <mergeCell ref="D46:Q46"/>
    <mergeCell ref="D47:Q47"/>
    <mergeCell ref="D48:Q48"/>
    <mergeCell ref="D49:Q4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30.43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6.71"/>
    <col customWidth="1" min="13" max="13" width="10.0"/>
    <col customWidth="1" min="14" max="14" width="7.14"/>
    <col customWidth="1" min="15" max="17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>
      <c r="A22" s="87"/>
      <c r="B22" s="87" t="s">
        <v>965</v>
      </c>
      <c r="C22" s="90">
        <f>J54</f>
        <v>500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>
      <c r="A23" s="87"/>
      <c r="B23" s="87" t="s">
        <v>966</v>
      </c>
      <c r="C23" s="90"/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>
      <c r="A24" s="87"/>
      <c r="B24" s="87" t="s">
        <v>967</v>
      </c>
      <c r="C24" s="90"/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</row>
    <row r="25">
      <c r="A25" s="87"/>
      <c r="B25" s="87" t="s">
        <v>968</v>
      </c>
      <c r="C25" s="88">
        <f>C22*0.18</f>
        <v>90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</row>
    <row r="26">
      <c r="A26" s="87"/>
      <c r="B26" s="87" t="s">
        <v>970</v>
      </c>
      <c r="C26" s="90">
        <v>0.5</v>
      </c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</row>
    <row r="27">
      <c r="A27" s="87"/>
      <c r="B27" s="87" t="s">
        <v>971</v>
      </c>
      <c r="C27" s="90"/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</row>
    <row r="28">
      <c r="A28" s="87"/>
      <c r="B28" s="87" t="s">
        <v>1059</v>
      </c>
      <c r="C28" s="90">
        <v>1.5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</row>
    <row r="29">
      <c r="A29" s="87"/>
      <c r="B29" s="87" t="s">
        <v>972</v>
      </c>
      <c r="C29" s="90">
        <f>C22+C23+C24+C25+C27+C28</f>
        <v>591.5</v>
      </c>
      <c r="D29" s="89" t="s">
        <v>973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</row>
    <row r="30">
      <c r="A30" s="87"/>
      <c r="B30" s="87" t="s">
        <v>974</v>
      </c>
      <c r="C30" s="88"/>
      <c r="D30" s="89" t="s">
        <v>975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</row>
    <row r="31">
      <c r="A31" s="87"/>
      <c r="B31" s="87" t="s">
        <v>976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</row>
    <row r="32">
      <c r="A32" s="87"/>
      <c r="B32" s="87" t="s">
        <v>977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</row>
    <row r="33">
      <c r="A33" s="87"/>
      <c r="B33" s="87" t="s">
        <v>978</v>
      </c>
      <c r="C33" s="88"/>
      <c r="D33" s="89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</row>
    <row r="34">
      <c r="A34" s="77"/>
      <c r="B34" s="77" t="s">
        <v>979</v>
      </c>
      <c r="C34" s="85" t="s">
        <v>980</v>
      </c>
      <c r="D34" s="83" t="s">
        <v>981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4"/>
    </row>
    <row r="35">
      <c r="A35" s="77"/>
      <c r="B35" s="77" t="s">
        <v>982</v>
      </c>
      <c r="C35" s="86"/>
      <c r="D35" s="83" t="s">
        <v>983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4"/>
    </row>
    <row r="36">
      <c r="A36" s="77"/>
      <c r="B36" s="77" t="s">
        <v>984</v>
      </c>
      <c r="C36" s="86"/>
      <c r="D36" s="83" t="s">
        <v>985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4"/>
    </row>
    <row r="37">
      <c r="A37" s="77"/>
      <c r="B37" s="77" t="s">
        <v>986</v>
      </c>
      <c r="C37" s="86"/>
      <c r="D37" s="83" t="s">
        <v>987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4"/>
    </row>
    <row r="38">
      <c r="A38" s="77"/>
      <c r="B38" s="77" t="s">
        <v>988</v>
      </c>
      <c r="C38" s="86"/>
      <c r="D38" s="83" t="s">
        <v>989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4"/>
    </row>
    <row r="39">
      <c r="A39" s="77"/>
      <c r="B39" s="77" t="s">
        <v>990</v>
      </c>
      <c r="C39" s="86"/>
      <c r="D39" s="83" t="s">
        <v>991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4"/>
    </row>
    <row r="40">
      <c r="A40" s="77"/>
      <c r="B40" s="77" t="s">
        <v>992</v>
      </c>
      <c r="C40" s="86"/>
      <c r="D40" s="83" t="s">
        <v>993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4"/>
    </row>
    <row r="41">
      <c r="A41" s="77"/>
      <c r="B41" s="77" t="s">
        <v>994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4"/>
    </row>
    <row r="42">
      <c r="A42" s="77"/>
      <c r="B42" s="77" t="s">
        <v>995</v>
      </c>
      <c r="C42" s="91" t="s">
        <v>980</v>
      </c>
      <c r="D42" s="83" t="s">
        <v>981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4"/>
    </row>
    <row r="43">
      <c r="A43" s="77"/>
      <c r="B43" s="77" t="s">
        <v>996</v>
      </c>
      <c r="C43" s="86"/>
      <c r="D43" s="83" t="s">
        <v>997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4"/>
    </row>
    <row r="44">
      <c r="A44" s="77"/>
      <c r="B44" s="77" t="s">
        <v>998</v>
      </c>
      <c r="C44" s="86"/>
      <c r="D44" s="83" t="s">
        <v>999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4"/>
    </row>
    <row r="45">
      <c r="A45" s="77"/>
      <c r="B45" s="77" t="s">
        <v>1000</v>
      </c>
      <c r="C45" s="86"/>
      <c r="D45" s="83" t="s">
        <v>1001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4"/>
    </row>
    <row r="46">
      <c r="A46" s="77"/>
      <c r="B46" s="77" t="s">
        <v>1002</v>
      </c>
      <c r="C46" s="86"/>
      <c r="D46" s="83" t="s">
        <v>1003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4"/>
    </row>
    <row r="47">
      <c r="A47" s="77"/>
      <c r="B47" s="77" t="s">
        <v>1004</v>
      </c>
      <c r="C47" s="86"/>
      <c r="D47" s="83" t="s">
        <v>1005</v>
      </c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4"/>
    </row>
    <row r="48">
      <c r="A48" s="77"/>
      <c r="B48" s="77" t="s">
        <v>1006</v>
      </c>
      <c r="C48" s="86"/>
      <c r="D48" s="83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4"/>
    </row>
    <row r="49">
      <c r="A49" s="77"/>
      <c r="B49" s="77" t="s">
        <v>1007</v>
      </c>
      <c r="C49" s="86"/>
      <c r="D49" s="83" t="s">
        <v>1008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4"/>
    </row>
    <row r="50">
      <c r="A50" s="77"/>
      <c r="B50" s="77" t="s">
        <v>1009</v>
      </c>
      <c r="C50" s="85" t="s">
        <v>1010</v>
      </c>
      <c r="D50" s="83" t="s">
        <v>1011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4"/>
    </row>
    <row r="51">
      <c r="A51" s="77"/>
      <c r="B51" s="77" t="s">
        <v>1012</v>
      </c>
      <c r="C51" s="85" t="s">
        <v>1010</v>
      </c>
      <c r="D51" s="83" t="s">
        <v>1013</v>
      </c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4"/>
    </row>
    <row r="52">
      <c r="A52" s="77"/>
      <c r="B52" s="77"/>
      <c r="C52" s="86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</row>
    <row r="53">
      <c r="A53" s="92"/>
      <c r="B53" s="92" t="s">
        <v>1014</v>
      </c>
      <c r="C53" s="93" t="s">
        <v>1015</v>
      </c>
      <c r="D53" s="93" t="s">
        <v>1016</v>
      </c>
      <c r="E53" s="93" t="s">
        <v>1017</v>
      </c>
      <c r="F53" s="93" t="s">
        <v>1018</v>
      </c>
      <c r="G53" s="93" t="s">
        <v>1019</v>
      </c>
      <c r="H53" s="93" t="s">
        <v>1020</v>
      </c>
      <c r="I53" s="93" t="s">
        <v>1021</v>
      </c>
      <c r="J53" s="93" t="s">
        <v>1022</v>
      </c>
      <c r="K53" s="93" t="s">
        <v>1023</v>
      </c>
      <c r="L53" s="93" t="s">
        <v>1024</v>
      </c>
      <c r="M53" s="93" t="s">
        <v>1060</v>
      </c>
      <c r="N53" s="93" t="s">
        <v>972</v>
      </c>
      <c r="O53" s="93" t="s">
        <v>1025</v>
      </c>
      <c r="P53" s="93" t="s">
        <v>1026</v>
      </c>
      <c r="Q53" s="93" t="s">
        <v>1027</v>
      </c>
    </row>
    <row r="54">
      <c r="A54" s="87"/>
      <c r="B54" s="87"/>
      <c r="C54" s="90" t="s">
        <v>1028</v>
      </c>
      <c r="D54" s="90" t="s">
        <v>1029</v>
      </c>
      <c r="E54" s="90" t="s">
        <v>1030</v>
      </c>
      <c r="F54" s="90">
        <v>1.0</v>
      </c>
      <c r="G54" s="90">
        <v>500.0</v>
      </c>
      <c r="H54" s="88">
        <f>G54*1.18</f>
        <v>590</v>
      </c>
      <c r="I54" s="90">
        <v>0.0</v>
      </c>
      <c r="J54" s="88">
        <f t="shared" ref="J54:J55" si="1">F54*G54</f>
        <v>500</v>
      </c>
      <c r="K54" s="90">
        <v>1.0</v>
      </c>
      <c r="L54" s="88">
        <f>J54*0.18</f>
        <v>90</v>
      </c>
      <c r="M54" s="90">
        <v>0.0</v>
      </c>
      <c r="N54" s="88">
        <f>J54+L54</f>
        <v>590</v>
      </c>
      <c r="O54" s="88"/>
      <c r="P54" s="88"/>
      <c r="Q54" s="88"/>
    </row>
    <row r="55">
      <c r="A55" s="87"/>
      <c r="B55" s="87"/>
      <c r="C55" s="90" t="s">
        <v>1031</v>
      </c>
      <c r="D55" s="90" t="s">
        <v>1032</v>
      </c>
      <c r="E55" s="90" t="s">
        <v>1033</v>
      </c>
      <c r="F55" s="90">
        <v>5.0</v>
      </c>
      <c r="G55" s="90">
        <v>0.1</v>
      </c>
      <c r="H55" s="90">
        <v>0.1</v>
      </c>
      <c r="I55" s="90">
        <v>0.0</v>
      </c>
      <c r="J55" s="88">
        <f t="shared" si="1"/>
        <v>0.5</v>
      </c>
      <c r="K55" s="90">
        <v>6.0</v>
      </c>
      <c r="L55" s="90">
        <v>0.0</v>
      </c>
      <c r="M55" s="90">
        <v>1.5</v>
      </c>
      <c r="N55" s="90">
        <v>0.5</v>
      </c>
      <c r="O55" s="88"/>
      <c r="P55" s="88"/>
      <c r="Q55" s="88"/>
    </row>
    <row r="56">
      <c r="A56" s="87"/>
      <c r="B56" s="94" t="s">
        <v>1034</v>
      </c>
      <c r="C56" s="81"/>
      <c r="D56" s="81"/>
      <c r="E56" s="81"/>
      <c r="F56" s="81"/>
      <c r="G56" s="81"/>
      <c r="H56" s="84"/>
      <c r="I56" s="95"/>
      <c r="J56" s="95"/>
      <c r="K56" s="95"/>
      <c r="L56" s="95"/>
      <c r="M56" s="95"/>
      <c r="N56" s="95"/>
      <c r="O56" s="95"/>
      <c r="P56" s="95"/>
      <c r="Q56" s="95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</row>
    <row r="67">
      <c r="A67" s="77"/>
      <c r="B67" s="77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</row>
    <row r="1003">
      <c r="A1003" s="96"/>
      <c r="B1003" s="9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</row>
  </sheetData>
  <mergeCells count="51">
    <mergeCell ref="D1:Q1"/>
    <mergeCell ref="D2:Q2"/>
    <mergeCell ref="D3:Q3"/>
    <mergeCell ref="D4:Q4"/>
    <mergeCell ref="D5:Q5"/>
    <mergeCell ref="D6:Q6"/>
    <mergeCell ref="D7:Q7"/>
    <mergeCell ref="D8:Q8"/>
    <mergeCell ref="D9:Q9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D19:Q19"/>
    <mergeCell ref="D20:Q20"/>
    <mergeCell ref="D21:Q21"/>
    <mergeCell ref="D22:Q22"/>
    <mergeCell ref="D23:Q23"/>
    <mergeCell ref="D24:Q24"/>
    <mergeCell ref="D25:Q25"/>
    <mergeCell ref="D26:Q26"/>
    <mergeCell ref="D27:Q27"/>
    <mergeCell ref="D29:Q29"/>
    <mergeCell ref="D30:Q30"/>
    <mergeCell ref="D31:Q31"/>
    <mergeCell ref="D32:Q32"/>
    <mergeCell ref="D33:Q33"/>
    <mergeCell ref="D34:Q34"/>
    <mergeCell ref="D35:Q35"/>
    <mergeCell ref="D36:Q36"/>
    <mergeCell ref="D37:Q37"/>
    <mergeCell ref="D38:Q38"/>
    <mergeCell ref="D39:Q39"/>
    <mergeCell ref="D40:Q40"/>
    <mergeCell ref="D41:Q41"/>
    <mergeCell ref="D42:Q42"/>
    <mergeCell ref="D43:Q43"/>
    <mergeCell ref="D51:Q51"/>
    <mergeCell ref="B56:H56"/>
    <mergeCell ref="D44:Q44"/>
    <mergeCell ref="D45:Q45"/>
    <mergeCell ref="D46:Q46"/>
    <mergeCell ref="D47:Q47"/>
    <mergeCell ref="D48:Q48"/>
    <mergeCell ref="D49:Q49"/>
    <mergeCell ref="D50:Q5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29"/>
    <col customWidth="1" min="2" max="2" width="32.14"/>
    <col customWidth="1" min="3" max="3" width="21.29"/>
    <col customWidth="1" min="4" max="4" width="7.43"/>
    <col customWidth="1" min="5" max="5" width="30.43"/>
    <col customWidth="1" min="6" max="6" width="8.71"/>
    <col customWidth="1" min="7" max="7" width="12.43"/>
    <col customWidth="1" min="8" max="8" width="13.43"/>
    <col customWidth="1" min="9" max="9" width="10.0"/>
    <col customWidth="1" min="10" max="10" width="8.0"/>
    <col customWidth="1" min="11" max="11" width="11.43"/>
    <col customWidth="1" min="12" max="12" width="6.71"/>
    <col customWidth="1" min="13" max="13" width="10.0"/>
    <col customWidth="1" min="14" max="14" width="7.14"/>
    <col customWidth="1" min="15" max="17" width="9.43"/>
  </cols>
  <sheetData>
    <row r="1">
      <c r="A1" s="77"/>
      <c r="B1" s="78" t="s">
        <v>917</v>
      </c>
      <c r="C1" s="79" t="s">
        <v>918</v>
      </c>
      <c r="D1" s="80" t="s">
        <v>919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>
      <c r="A2" s="77"/>
      <c r="B2" s="77" t="s">
        <v>920</v>
      </c>
      <c r="C2" s="82" t="s">
        <v>921</v>
      </c>
      <c r="D2" s="83" t="s">
        <v>922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4"/>
    </row>
    <row r="3">
      <c r="A3" s="77"/>
      <c r="B3" s="77" t="s">
        <v>923</v>
      </c>
      <c r="C3" s="85" t="s">
        <v>924</v>
      </c>
      <c r="D3" s="83" t="s">
        <v>925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4"/>
    </row>
    <row r="4">
      <c r="A4" s="77"/>
      <c r="B4" s="77" t="s">
        <v>926</v>
      </c>
      <c r="C4" s="85" t="s">
        <v>927</v>
      </c>
      <c r="D4" s="83" t="s">
        <v>928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4"/>
    </row>
    <row r="5">
      <c r="A5" s="77"/>
      <c r="B5" s="77" t="s">
        <v>929</v>
      </c>
      <c r="C5" s="85" t="s">
        <v>924</v>
      </c>
      <c r="D5" s="83" t="s">
        <v>930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4"/>
    </row>
    <row r="6">
      <c r="A6" s="77"/>
      <c r="B6" s="77" t="s">
        <v>931</v>
      </c>
      <c r="C6" s="85" t="s">
        <v>924</v>
      </c>
      <c r="D6" s="83" t="s">
        <v>932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4"/>
    </row>
    <row r="7">
      <c r="A7" s="77"/>
      <c r="B7" s="77" t="s">
        <v>933</v>
      </c>
      <c r="C7" s="85" t="s">
        <v>934</v>
      </c>
      <c r="D7" s="83" t="s">
        <v>935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4"/>
    </row>
    <row r="8">
      <c r="A8" s="77"/>
      <c r="B8" s="77" t="s">
        <v>936</v>
      </c>
      <c r="C8" s="85" t="s">
        <v>937</v>
      </c>
      <c r="D8" s="83" t="s">
        <v>938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4"/>
    </row>
    <row r="9">
      <c r="A9" s="77"/>
      <c r="B9" s="77" t="s">
        <v>939</v>
      </c>
      <c r="C9" s="85" t="s">
        <v>940</v>
      </c>
      <c r="D9" s="83" t="s">
        <v>941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4"/>
    </row>
    <row r="10">
      <c r="A10" s="77"/>
      <c r="B10" s="77" t="s">
        <v>942</v>
      </c>
      <c r="C10" s="85" t="s">
        <v>943</v>
      </c>
      <c r="D10" s="83" t="s">
        <v>944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4"/>
    </row>
    <row r="11">
      <c r="A11" s="77"/>
      <c r="B11" s="77" t="s">
        <v>945</v>
      </c>
      <c r="C11" s="85"/>
      <c r="D11" s="83" t="s">
        <v>946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4"/>
    </row>
    <row r="12">
      <c r="A12" s="77"/>
      <c r="B12" s="77" t="s">
        <v>947</v>
      </c>
      <c r="C12" s="86"/>
      <c r="D12" s="83" t="s">
        <v>946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4"/>
    </row>
    <row r="13">
      <c r="A13" s="77"/>
      <c r="B13" s="77" t="s">
        <v>948</v>
      </c>
      <c r="C13" s="86"/>
      <c r="D13" s="83" t="s">
        <v>946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4"/>
    </row>
    <row r="14">
      <c r="A14" s="77"/>
      <c r="B14" s="77" t="s">
        <v>949</v>
      </c>
      <c r="C14" s="107" t="s">
        <v>950</v>
      </c>
      <c r="D14" s="83" t="s">
        <v>951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4"/>
    </row>
    <row r="15">
      <c r="A15" s="77"/>
      <c r="B15" s="77" t="s">
        <v>952</v>
      </c>
      <c r="C15" s="107" t="s">
        <v>950</v>
      </c>
      <c r="D15" s="83" t="s">
        <v>953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4"/>
    </row>
    <row r="16">
      <c r="A16" s="77"/>
      <c r="B16" s="77" t="s">
        <v>954</v>
      </c>
      <c r="C16" s="85" t="s">
        <v>924</v>
      </c>
      <c r="D16" s="83" t="s">
        <v>955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4"/>
    </row>
    <row r="17">
      <c r="A17" s="77"/>
      <c r="B17" s="77" t="s">
        <v>956</v>
      </c>
      <c r="C17" s="86"/>
      <c r="D17" s="83" t="s">
        <v>957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4"/>
    </row>
    <row r="18">
      <c r="A18" s="77"/>
      <c r="B18" s="77" t="s">
        <v>958</v>
      </c>
      <c r="C18" s="85" t="s">
        <v>959</v>
      </c>
      <c r="D18" s="83" t="s">
        <v>960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4"/>
    </row>
    <row r="19">
      <c r="A19" s="87"/>
      <c r="B19" s="87" t="s">
        <v>961</v>
      </c>
      <c r="C19" s="88"/>
      <c r="D19" s="89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</row>
    <row r="20">
      <c r="A20" s="87"/>
      <c r="B20" s="87" t="s">
        <v>962</v>
      </c>
      <c r="C20" s="88"/>
      <c r="D20" s="89" t="s">
        <v>963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</row>
    <row r="21">
      <c r="A21" s="87"/>
      <c r="B21" s="87" t="s">
        <v>964</v>
      </c>
      <c r="C21" s="88"/>
      <c r="D21" s="89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</row>
    <row r="22">
      <c r="A22" s="87"/>
      <c r="B22" s="87" t="s">
        <v>965</v>
      </c>
      <c r="C22" s="90">
        <f>J54+J55</f>
        <v>500.4237288</v>
      </c>
      <c r="D22" s="89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</row>
    <row r="23">
      <c r="A23" s="87"/>
      <c r="B23" s="87" t="s">
        <v>966</v>
      </c>
      <c r="C23" s="90"/>
      <c r="D23" s="89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</row>
    <row r="24">
      <c r="A24" s="87"/>
      <c r="B24" s="87" t="s">
        <v>967</v>
      </c>
      <c r="C24" s="90"/>
      <c r="D24" s="89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</row>
    <row r="25">
      <c r="A25" s="87"/>
      <c r="B25" s="87" t="s">
        <v>968</v>
      </c>
      <c r="C25" s="88">
        <f>C22*0.18</f>
        <v>90.07627119</v>
      </c>
      <c r="D25" s="89" t="s">
        <v>969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</row>
    <row r="26">
      <c r="A26" s="87"/>
      <c r="B26" s="87" t="s">
        <v>970</v>
      </c>
      <c r="C26" s="90"/>
      <c r="D26" s="89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</row>
    <row r="27">
      <c r="A27" s="87"/>
      <c r="B27" s="87" t="s">
        <v>971</v>
      </c>
      <c r="C27" s="90"/>
      <c r="D27" s="89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</row>
    <row r="28">
      <c r="A28" s="87"/>
      <c r="B28" s="87" t="s">
        <v>1059</v>
      </c>
      <c r="C28" s="90">
        <v>1.5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</row>
    <row r="29">
      <c r="A29" s="87"/>
      <c r="B29" s="87" t="s">
        <v>972</v>
      </c>
      <c r="C29" s="90">
        <f>C22+C23+C24+C25+C27+C28</f>
        <v>592</v>
      </c>
      <c r="D29" s="89" t="s">
        <v>973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</row>
    <row r="30">
      <c r="A30" s="87"/>
      <c r="B30" s="87" t="s">
        <v>974</v>
      </c>
      <c r="C30" s="88"/>
      <c r="D30" s="89" t="s">
        <v>975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</row>
    <row r="31">
      <c r="A31" s="87"/>
      <c r="B31" s="87" t="s">
        <v>976</v>
      </c>
      <c r="C31" s="88"/>
      <c r="D31" s="89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</row>
    <row r="32">
      <c r="A32" s="87"/>
      <c r="B32" s="87" t="s">
        <v>977</v>
      </c>
      <c r="C32" s="88"/>
      <c r="D32" s="89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</row>
    <row r="33">
      <c r="A33" s="87"/>
      <c r="B33" s="87" t="s">
        <v>978</v>
      </c>
      <c r="C33" s="88"/>
      <c r="D33" s="89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</row>
    <row r="34">
      <c r="A34" s="77"/>
      <c r="B34" s="77" t="s">
        <v>979</v>
      </c>
      <c r="C34" s="85" t="s">
        <v>980</v>
      </c>
      <c r="D34" s="83" t="s">
        <v>981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4"/>
    </row>
    <row r="35">
      <c r="A35" s="77"/>
      <c r="B35" s="77" t="s">
        <v>982</v>
      </c>
      <c r="C35" s="86"/>
      <c r="D35" s="83" t="s">
        <v>983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4"/>
    </row>
    <row r="36">
      <c r="A36" s="77"/>
      <c r="B36" s="77" t="s">
        <v>984</v>
      </c>
      <c r="C36" s="86"/>
      <c r="D36" s="83" t="s">
        <v>985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4"/>
    </row>
    <row r="37">
      <c r="A37" s="77"/>
      <c r="B37" s="77" t="s">
        <v>986</v>
      </c>
      <c r="C37" s="86"/>
      <c r="D37" s="83" t="s">
        <v>987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4"/>
    </row>
    <row r="38">
      <c r="A38" s="77"/>
      <c r="B38" s="77" t="s">
        <v>988</v>
      </c>
      <c r="C38" s="86"/>
      <c r="D38" s="83" t="s">
        <v>989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4"/>
    </row>
    <row r="39">
      <c r="A39" s="77"/>
      <c r="B39" s="77" t="s">
        <v>990</v>
      </c>
      <c r="C39" s="86"/>
      <c r="D39" s="83" t="s">
        <v>991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4"/>
    </row>
    <row r="40">
      <c r="A40" s="77"/>
      <c r="B40" s="77" t="s">
        <v>992</v>
      </c>
      <c r="C40" s="86"/>
      <c r="D40" s="83" t="s">
        <v>993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4"/>
    </row>
    <row r="41">
      <c r="A41" s="77"/>
      <c r="B41" s="77" t="s">
        <v>994</v>
      </c>
      <c r="C41" s="91" t="s">
        <v>980</v>
      </c>
      <c r="D41" s="83" t="s">
        <v>981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4"/>
    </row>
    <row r="42">
      <c r="A42" s="77"/>
      <c r="B42" s="77" t="s">
        <v>995</v>
      </c>
      <c r="C42" s="91" t="s">
        <v>980</v>
      </c>
      <c r="D42" s="83" t="s">
        <v>981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4"/>
    </row>
    <row r="43">
      <c r="A43" s="77"/>
      <c r="B43" s="77" t="s">
        <v>996</v>
      </c>
      <c r="C43" s="86"/>
      <c r="D43" s="83" t="s">
        <v>997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4"/>
    </row>
    <row r="44">
      <c r="A44" s="77"/>
      <c r="B44" s="77" t="s">
        <v>998</v>
      </c>
      <c r="C44" s="86"/>
      <c r="D44" s="83" t="s">
        <v>999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4"/>
    </row>
    <row r="45">
      <c r="A45" s="77"/>
      <c r="B45" s="77" t="s">
        <v>1000</v>
      </c>
      <c r="C45" s="86"/>
      <c r="D45" s="83" t="s">
        <v>1001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4"/>
    </row>
    <row r="46">
      <c r="A46" s="77"/>
      <c r="B46" s="77" t="s">
        <v>1002</v>
      </c>
      <c r="C46" s="86"/>
      <c r="D46" s="83" t="s">
        <v>1003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4"/>
    </row>
    <row r="47">
      <c r="A47" s="77"/>
      <c r="B47" s="77" t="s">
        <v>1004</v>
      </c>
      <c r="C47" s="86"/>
      <c r="D47" s="83" t="s">
        <v>1005</v>
      </c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4"/>
    </row>
    <row r="48">
      <c r="A48" s="77"/>
      <c r="B48" s="77" t="s">
        <v>1006</v>
      </c>
      <c r="C48" s="86"/>
      <c r="D48" s="83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4"/>
    </row>
    <row r="49">
      <c r="A49" s="77"/>
      <c r="B49" s="77" t="s">
        <v>1007</v>
      </c>
      <c r="C49" s="86"/>
      <c r="D49" s="83" t="s">
        <v>1008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4"/>
    </row>
    <row r="50">
      <c r="A50" s="77"/>
      <c r="B50" s="77" t="s">
        <v>1009</v>
      </c>
      <c r="C50" s="85" t="s">
        <v>1010</v>
      </c>
      <c r="D50" s="83" t="s">
        <v>1011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4"/>
    </row>
    <row r="51">
      <c r="A51" s="77"/>
      <c r="B51" s="77" t="s">
        <v>1012</v>
      </c>
      <c r="C51" s="85" t="s">
        <v>1010</v>
      </c>
      <c r="D51" s="83" t="s">
        <v>1013</v>
      </c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4"/>
    </row>
    <row r="52">
      <c r="A52" s="77"/>
      <c r="B52" s="77"/>
      <c r="C52" s="86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</row>
    <row r="53">
      <c r="A53" s="92"/>
      <c r="B53" s="92" t="s">
        <v>1014</v>
      </c>
      <c r="C53" s="93" t="s">
        <v>1015</v>
      </c>
      <c r="D53" s="93" t="s">
        <v>1016</v>
      </c>
      <c r="E53" s="93" t="s">
        <v>1017</v>
      </c>
      <c r="F53" s="93" t="s">
        <v>1018</v>
      </c>
      <c r="G53" s="93" t="s">
        <v>1019</v>
      </c>
      <c r="H53" s="93" t="s">
        <v>1020</v>
      </c>
      <c r="I53" s="93" t="s">
        <v>1021</v>
      </c>
      <c r="J53" s="93" t="s">
        <v>1022</v>
      </c>
      <c r="K53" s="93" t="s">
        <v>1023</v>
      </c>
      <c r="L53" s="93" t="s">
        <v>1024</v>
      </c>
      <c r="M53" s="93" t="s">
        <v>1060</v>
      </c>
      <c r="N53" s="93" t="s">
        <v>972</v>
      </c>
      <c r="O53" s="93" t="s">
        <v>1025</v>
      </c>
      <c r="P53" s="93" t="s">
        <v>1026</v>
      </c>
      <c r="Q53" s="93" t="s">
        <v>1027</v>
      </c>
    </row>
    <row r="54">
      <c r="A54" s="87"/>
      <c r="B54" s="87"/>
      <c r="C54" s="90" t="s">
        <v>1028</v>
      </c>
      <c r="D54" s="90" t="s">
        <v>1029</v>
      </c>
      <c r="E54" s="90" t="s">
        <v>1030</v>
      </c>
      <c r="F54" s="90">
        <v>1.0</v>
      </c>
      <c r="G54" s="90">
        <v>500.0</v>
      </c>
      <c r="H54" s="88">
        <f>G54*1.18</f>
        <v>590</v>
      </c>
      <c r="I54" s="90">
        <v>0.0</v>
      </c>
      <c r="J54" s="88">
        <f t="shared" ref="J54:J55" si="1">F54*G54</f>
        <v>500</v>
      </c>
      <c r="K54" s="90">
        <v>1.0</v>
      </c>
      <c r="L54" s="88">
        <f>J54*0.18</f>
        <v>90</v>
      </c>
      <c r="M54" s="90">
        <v>0.0</v>
      </c>
      <c r="N54" s="88">
        <f>J54+L54</f>
        <v>590</v>
      </c>
      <c r="O54" s="88"/>
      <c r="P54" s="88"/>
      <c r="Q54" s="88"/>
    </row>
    <row r="55">
      <c r="A55" s="87"/>
      <c r="B55" s="87"/>
      <c r="C55" s="90" t="s">
        <v>1031</v>
      </c>
      <c r="D55" s="90" t="s">
        <v>1032</v>
      </c>
      <c r="E55" s="90" t="s">
        <v>1033</v>
      </c>
      <c r="F55" s="90">
        <v>5.0</v>
      </c>
      <c r="G55" s="90">
        <v>0.084745762711864</v>
      </c>
      <c r="H55" s="90">
        <v>0.1</v>
      </c>
      <c r="I55" s="90">
        <v>0.0</v>
      </c>
      <c r="J55" s="88">
        <f t="shared" si="1"/>
        <v>0.4237288136</v>
      </c>
      <c r="K55" s="90">
        <v>1.0</v>
      </c>
      <c r="L55" s="90">
        <v>0.076271186440678</v>
      </c>
      <c r="M55" s="90">
        <v>1.5</v>
      </c>
      <c r="N55" s="90">
        <v>2.0</v>
      </c>
      <c r="O55" s="88"/>
      <c r="P55" s="88"/>
      <c r="Q55" s="88"/>
    </row>
    <row r="56">
      <c r="A56" s="87"/>
      <c r="B56" s="94" t="s">
        <v>1034</v>
      </c>
      <c r="C56" s="81"/>
      <c r="D56" s="81"/>
      <c r="E56" s="81"/>
      <c r="F56" s="81"/>
      <c r="G56" s="81"/>
      <c r="H56" s="84"/>
      <c r="I56" s="95"/>
      <c r="J56" s="95"/>
      <c r="K56" s="95"/>
      <c r="L56" s="95"/>
      <c r="M56" s="95"/>
      <c r="N56" s="95"/>
      <c r="O56" s="95"/>
      <c r="P56" s="95"/>
      <c r="Q56" s="95"/>
    </row>
    <row r="57">
      <c r="A57" s="77"/>
      <c r="B57" s="77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</row>
    <row r="58">
      <c r="A58" s="77"/>
      <c r="B58" s="77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>
      <c r="A59" s="77"/>
      <c r="B59" s="77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0">
      <c r="A60" s="77"/>
      <c r="B60" s="77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</row>
    <row r="61">
      <c r="A61" s="77"/>
      <c r="B61" s="77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</row>
    <row r="62">
      <c r="A62" s="77"/>
      <c r="B62" s="77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</row>
    <row r="63">
      <c r="A63" s="77"/>
      <c r="B63" s="77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</row>
    <row r="64">
      <c r="A64" s="77"/>
      <c r="B64" s="77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</row>
    <row r="65">
      <c r="A65" s="77"/>
      <c r="B65" s="77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</row>
    <row r="66">
      <c r="A66" s="77"/>
      <c r="B66" s="77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</row>
    <row r="67">
      <c r="A67" s="77"/>
      <c r="B67" s="77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</row>
    <row r="68">
      <c r="A68" s="96"/>
      <c r="B68" s="9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</row>
    <row r="69">
      <c r="A69" s="96"/>
      <c r="B69" s="9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</row>
    <row r="70">
      <c r="A70" s="96"/>
      <c r="B70" s="9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</row>
    <row r="71">
      <c r="A71" s="96"/>
      <c r="B71" s="9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</row>
    <row r="72">
      <c r="A72" s="96"/>
      <c r="B72" s="9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</row>
    <row r="73">
      <c r="A73" s="96"/>
      <c r="B73" s="9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</row>
    <row r="74">
      <c r="A74" s="96"/>
      <c r="B74" s="9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</row>
    <row r="75">
      <c r="A75" s="96"/>
      <c r="B75" s="9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</row>
    <row r="76">
      <c r="A76" s="96"/>
      <c r="B76" s="9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</row>
    <row r="77">
      <c r="A77" s="96"/>
      <c r="B77" s="9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</row>
    <row r="78">
      <c r="A78" s="96"/>
      <c r="B78" s="9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</row>
    <row r="79">
      <c r="A79" s="96"/>
      <c r="B79" s="9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</row>
    <row r="80">
      <c r="A80" s="96"/>
      <c r="B80" s="9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</row>
    <row r="81">
      <c r="A81" s="96"/>
      <c r="B81" s="9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</row>
    <row r="82">
      <c r="A82" s="96"/>
      <c r="B82" s="9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</row>
    <row r="83">
      <c r="A83" s="96"/>
      <c r="B83" s="9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</row>
    <row r="84">
      <c r="A84" s="96"/>
      <c r="B84" s="9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</row>
    <row r="85">
      <c r="A85" s="96"/>
      <c r="B85" s="9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</row>
    <row r="86">
      <c r="A86" s="96"/>
      <c r="B86" s="9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</row>
    <row r="87">
      <c r="A87" s="96"/>
      <c r="B87" s="9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</row>
    <row r="88">
      <c r="A88" s="96"/>
      <c r="B88" s="9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</row>
    <row r="89">
      <c r="A89" s="96"/>
      <c r="B89" s="9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</row>
    <row r="90">
      <c r="A90" s="96"/>
      <c r="B90" s="9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</row>
    <row r="91">
      <c r="A91" s="96"/>
      <c r="B91" s="9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</row>
    <row r="92">
      <c r="A92" s="96"/>
      <c r="B92" s="9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</row>
    <row r="93">
      <c r="A93" s="96"/>
      <c r="B93" s="9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</row>
    <row r="94">
      <c r="A94" s="96"/>
      <c r="B94" s="9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</row>
    <row r="95">
      <c r="A95" s="96"/>
      <c r="B95" s="9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</row>
    <row r="96">
      <c r="A96" s="96"/>
      <c r="B96" s="9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</row>
    <row r="97">
      <c r="A97" s="96"/>
      <c r="B97" s="9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</row>
    <row r="98">
      <c r="A98" s="96"/>
      <c r="B98" s="9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</row>
    <row r="99">
      <c r="A99" s="96"/>
      <c r="B99" s="9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</row>
    <row r="100">
      <c r="A100" s="96"/>
      <c r="B100" s="9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</row>
    <row r="101">
      <c r="A101" s="96"/>
      <c r="B101" s="9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</row>
    <row r="102">
      <c r="A102" s="96"/>
      <c r="B102" s="9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</row>
    <row r="103">
      <c r="A103" s="96"/>
      <c r="B103" s="9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</row>
    <row r="104">
      <c r="A104" s="96"/>
      <c r="B104" s="9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</row>
    <row r="105">
      <c r="A105" s="96"/>
      <c r="B105" s="9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</row>
    <row r="106">
      <c r="A106" s="96"/>
      <c r="B106" s="9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</row>
    <row r="107">
      <c r="A107" s="96"/>
      <c r="B107" s="9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</row>
    <row r="108">
      <c r="A108" s="96"/>
      <c r="B108" s="9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</row>
    <row r="109">
      <c r="A109" s="96"/>
      <c r="B109" s="9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</row>
    <row r="110">
      <c r="A110" s="96"/>
      <c r="B110" s="9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</row>
    <row r="111">
      <c r="A111" s="96"/>
      <c r="B111" s="9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</row>
    <row r="112">
      <c r="A112" s="96"/>
      <c r="B112" s="9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</row>
    <row r="113">
      <c r="A113" s="96"/>
      <c r="B113" s="9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</row>
    <row r="114">
      <c r="A114" s="96"/>
      <c r="B114" s="9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</row>
    <row r="115">
      <c r="A115" s="96"/>
      <c r="B115" s="9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</row>
    <row r="116">
      <c r="A116" s="96"/>
      <c r="B116" s="9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</row>
    <row r="117">
      <c r="A117" s="96"/>
      <c r="B117" s="9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</row>
    <row r="118">
      <c r="A118" s="96"/>
      <c r="B118" s="9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</row>
    <row r="119">
      <c r="A119" s="96"/>
      <c r="B119" s="9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</row>
    <row r="120">
      <c r="A120" s="96"/>
      <c r="B120" s="9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</row>
    <row r="121">
      <c r="A121" s="96"/>
      <c r="B121" s="9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</row>
    <row r="122">
      <c r="A122" s="96"/>
      <c r="B122" s="9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</row>
    <row r="123">
      <c r="A123" s="96"/>
      <c r="B123" s="9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</row>
    <row r="124">
      <c r="A124" s="96"/>
      <c r="B124" s="9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</row>
    <row r="125">
      <c r="A125" s="96"/>
      <c r="B125" s="9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</row>
    <row r="126">
      <c r="A126" s="96"/>
      <c r="B126" s="9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</row>
    <row r="127">
      <c r="A127" s="96"/>
      <c r="B127" s="9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</row>
    <row r="128">
      <c r="A128" s="96"/>
      <c r="B128" s="9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</row>
    <row r="129">
      <c r="A129" s="96"/>
      <c r="B129" s="9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</row>
    <row r="130">
      <c r="A130" s="96"/>
      <c r="B130" s="9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</row>
    <row r="131">
      <c r="A131" s="96"/>
      <c r="B131" s="9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</row>
    <row r="132">
      <c r="A132" s="96"/>
      <c r="B132" s="9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</row>
    <row r="133">
      <c r="A133" s="96"/>
      <c r="B133" s="9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</row>
    <row r="134">
      <c r="A134" s="96"/>
      <c r="B134" s="9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</row>
    <row r="135">
      <c r="A135" s="96"/>
      <c r="B135" s="9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</row>
    <row r="136">
      <c r="A136" s="96"/>
      <c r="B136" s="9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</row>
    <row r="137">
      <c r="A137" s="96"/>
      <c r="B137" s="9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</row>
    <row r="138">
      <c r="A138" s="96"/>
      <c r="B138" s="9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</row>
    <row r="139">
      <c r="A139" s="96"/>
      <c r="B139" s="9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</row>
    <row r="140">
      <c r="A140" s="96"/>
      <c r="B140" s="9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</row>
    <row r="141">
      <c r="A141" s="96"/>
      <c r="B141" s="9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</row>
    <row r="142">
      <c r="A142" s="96"/>
      <c r="B142" s="9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</row>
    <row r="143">
      <c r="A143" s="96"/>
      <c r="B143" s="9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</row>
    <row r="144">
      <c r="A144" s="96"/>
      <c r="B144" s="9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</row>
    <row r="145">
      <c r="A145" s="96"/>
      <c r="B145" s="9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</row>
    <row r="146">
      <c r="A146" s="96"/>
      <c r="B146" s="9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</row>
    <row r="147">
      <c r="A147" s="96"/>
      <c r="B147" s="9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</row>
    <row r="148">
      <c r="A148" s="96"/>
      <c r="B148" s="9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</row>
    <row r="149">
      <c r="A149" s="96"/>
      <c r="B149" s="9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</row>
    <row r="150">
      <c r="A150" s="96"/>
      <c r="B150" s="9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</row>
    <row r="151">
      <c r="A151" s="96"/>
      <c r="B151" s="9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</row>
    <row r="152">
      <c r="A152" s="96"/>
      <c r="B152" s="9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</row>
    <row r="153">
      <c r="A153" s="96"/>
      <c r="B153" s="9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</row>
    <row r="154">
      <c r="A154" s="96"/>
      <c r="B154" s="9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</row>
    <row r="155">
      <c r="A155" s="96"/>
      <c r="B155" s="9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</row>
    <row r="156">
      <c r="A156" s="96"/>
      <c r="B156" s="9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</row>
    <row r="157">
      <c r="A157" s="96"/>
      <c r="B157" s="9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</row>
    <row r="158">
      <c r="A158" s="96"/>
      <c r="B158" s="9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</row>
    <row r="159">
      <c r="A159" s="96"/>
      <c r="B159" s="9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</row>
    <row r="160">
      <c r="A160" s="96"/>
      <c r="B160" s="9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</row>
    <row r="161">
      <c r="A161" s="96"/>
      <c r="B161" s="9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</row>
    <row r="162">
      <c r="A162" s="96"/>
      <c r="B162" s="9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</row>
    <row r="163">
      <c r="A163" s="96"/>
      <c r="B163" s="9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</row>
    <row r="164">
      <c r="A164" s="96"/>
      <c r="B164" s="9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</row>
    <row r="165">
      <c r="A165" s="96"/>
      <c r="B165" s="9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</row>
    <row r="166">
      <c r="A166" s="96"/>
      <c r="B166" s="9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</row>
    <row r="167">
      <c r="A167" s="96"/>
      <c r="B167" s="9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</row>
    <row r="168">
      <c r="A168" s="96"/>
      <c r="B168" s="9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</row>
    <row r="169">
      <c r="A169" s="96"/>
      <c r="B169" s="9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</row>
    <row r="170">
      <c r="A170" s="96"/>
      <c r="B170" s="9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</row>
    <row r="171">
      <c r="A171" s="96"/>
      <c r="B171" s="9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</row>
    <row r="172">
      <c r="A172" s="96"/>
      <c r="B172" s="9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</row>
    <row r="173">
      <c r="A173" s="96"/>
      <c r="B173" s="9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</row>
    <row r="174">
      <c r="A174" s="96"/>
      <c r="B174" s="9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</row>
    <row r="175">
      <c r="A175" s="96"/>
      <c r="B175" s="9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</row>
    <row r="176">
      <c r="A176" s="96"/>
      <c r="B176" s="9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</row>
    <row r="177">
      <c r="A177" s="96"/>
      <c r="B177" s="9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</row>
    <row r="178">
      <c r="A178" s="96"/>
      <c r="B178" s="9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</row>
    <row r="179">
      <c r="A179" s="96"/>
      <c r="B179" s="9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</row>
    <row r="180">
      <c r="A180" s="96"/>
      <c r="B180" s="9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</row>
    <row r="181">
      <c r="A181" s="96"/>
      <c r="B181" s="9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</row>
    <row r="182">
      <c r="A182" s="96"/>
      <c r="B182" s="9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</row>
    <row r="183">
      <c r="A183" s="96"/>
      <c r="B183" s="9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</row>
    <row r="184">
      <c r="A184" s="96"/>
      <c r="B184" s="9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</row>
    <row r="185">
      <c r="A185" s="96"/>
      <c r="B185" s="9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</row>
    <row r="186">
      <c r="A186" s="96"/>
      <c r="B186" s="9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</row>
    <row r="187">
      <c r="A187" s="96"/>
      <c r="B187" s="9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</row>
    <row r="188">
      <c r="A188" s="96"/>
      <c r="B188" s="9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</row>
    <row r="189">
      <c r="A189" s="96"/>
      <c r="B189" s="9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</row>
    <row r="190">
      <c r="A190" s="96"/>
      <c r="B190" s="9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</row>
    <row r="191">
      <c r="A191" s="96"/>
      <c r="B191" s="9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</row>
    <row r="192">
      <c r="A192" s="96"/>
      <c r="B192" s="9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</row>
    <row r="193">
      <c r="A193" s="96"/>
      <c r="B193" s="9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</row>
    <row r="194">
      <c r="A194" s="96"/>
      <c r="B194" s="9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</row>
    <row r="195">
      <c r="A195" s="96"/>
      <c r="B195" s="9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</row>
    <row r="196">
      <c r="A196" s="96"/>
      <c r="B196" s="9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</row>
    <row r="197">
      <c r="A197" s="96"/>
      <c r="B197" s="9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</row>
    <row r="198">
      <c r="A198" s="96"/>
      <c r="B198" s="9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</row>
    <row r="199">
      <c r="A199" s="96"/>
      <c r="B199" s="9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</row>
    <row r="200">
      <c r="A200" s="96"/>
      <c r="B200" s="9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</row>
    <row r="201">
      <c r="A201" s="96"/>
      <c r="B201" s="9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</row>
    <row r="202">
      <c r="A202" s="96"/>
      <c r="B202" s="9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</row>
    <row r="203">
      <c r="A203" s="96"/>
      <c r="B203" s="9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</row>
    <row r="204">
      <c r="A204" s="96"/>
      <c r="B204" s="9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</row>
    <row r="205">
      <c r="A205" s="96"/>
      <c r="B205" s="9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</row>
    <row r="206">
      <c r="A206" s="96"/>
      <c r="B206" s="9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</row>
    <row r="207">
      <c r="A207" s="96"/>
      <c r="B207" s="9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</row>
    <row r="208">
      <c r="A208" s="96"/>
      <c r="B208" s="9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</row>
    <row r="209">
      <c r="A209" s="96"/>
      <c r="B209" s="9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</row>
    <row r="210">
      <c r="A210" s="96"/>
      <c r="B210" s="9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</row>
    <row r="211">
      <c r="A211" s="96"/>
      <c r="B211" s="9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</row>
    <row r="212">
      <c r="A212" s="96"/>
      <c r="B212" s="9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</row>
    <row r="213">
      <c r="A213" s="96"/>
      <c r="B213" s="9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</row>
    <row r="214">
      <c r="A214" s="96"/>
      <c r="B214" s="9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</row>
    <row r="215">
      <c r="A215" s="96"/>
      <c r="B215" s="9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</row>
    <row r="216">
      <c r="A216" s="96"/>
      <c r="B216" s="9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</row>
    <row r="217">
      <c r="A217" s="96"/>
      <c r="B217" s="9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</row>
    <row r="218">
      <c r="A218" s="96"/>
      <c r="B218" s="9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</row>
    <row r="219">
      <c r="A219" s="96"/>
      <c r="B219" s="9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</row>
    <row r="220">
      <c r="A220" s="96"/>
      <c r="B220" s="9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</row>
    <row r="221">
      <c r="A221" s="96"/>
      <c r="B221" s="9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</row>
    <row r="222">
      <c r="A222" s="96"/>
      <c r="B222" s="9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</row>
    <row r="223">
      <c r="A223" s="96"/>
      <c r="B223" s="9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</row>
    <row r="224">
      <c r="A224" s="96"/>
      <c r="B224" s="9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</row>
    <row r="225">
      <c r="A225" s="96"/>
      <c r="B225" s="9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</row>
    <row r="226">
      <c r="A226" s="96"/>
      <c r="B226" s="9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</row>
    <row r="227">
      <c r="A227" s="96"/>
      <c r="B227" s="9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</row>
    <row r="228">
      <c r="A228" s="96"/>
      <c r="B228" s="9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</row>
    <row r="229">
      <c r="A229" s="96"/>
      <c r="B229" s="9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</row>
    <row r="230">
      <c r="A230" s="96"/>
      <c r="B230" s="9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</row>
    <row r="231">
      <c r="A231" s="96"/>
      <c r="B231" s="9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</row>
    <row r="232">
      <c r="A232" s="96"/>
      <c r="B232" s="9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</row>
    <row r="233">
      <c r="A233" s="96"/>
      <c r="B233" s="9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</row>
    <row r="234">
      <c r="A234" s="96"/>
      <c r="B234" s="9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</row>
    <row r="235">
      <c r="A235" s="96"/>
      <c r="B235" s="9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</row>
    <row r="236">
      <c r="A236" s="96"/>
      <c r="B236" s="9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</row>
    <row r="237">
      <c r="A237" s="96"/>
      <c r="B237" s="9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</row>
    <row r="238">
      <c r="A238" s="96"/>
      <c r="B238" s="9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</row>
    <row r="239">
      <c r="A239" s="96"/>
      <c r="B239" s="9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</row>
    <row r="240">
      <c r="A240" s="96"/>
      <c r="B240" s="9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</row>
    <row r="241">
      <c r="A241" s="96"/>
      <c r="B241" s="9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</row>
    <row r="242">
      <c r="A242" s="96"/>
      <c r="B242" s="9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</row>
    <row r="243">
      <c r="A243" s="96"/>
      <c r="B243" s="9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</row>
    <row r="244">
      <c r="A244" s="96"/>
      <c r="B244" s="9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</row>
    <row r="245">
      <c r="A245" s="96"/>
      <c r="B245" s="9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</row>
    <row r="246">
      <c r="A246" s="96"/>
      <c r="B246" s="9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</row>
    <row r="247">
      <c r="A247" s="96"/>
      <c r="B247" s="9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</row>
    <row r="248">
      <c r="A248" s="96"/>
      <c r="B248" s="9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</row>
    <row r="249">
      <c r="A249" s="96"/>
      <c r="B249" s="9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</row>
    <row r="250">
      <c r="A250" s="96"/>
      <c r="B250" s="9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</row>
    <row r="251">
      <c r="A251" s="96"/>
      <c r="B251" s="9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</row>
    <row r="252">
      <c r="A252" s="96"/>
      <c r="B252" s="9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</row>
    <row r="253">
      <c r="A253" s="96"/>
      <c r="B253" s="9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</row>
    <row r="254">
      <c r="A254" s="96"/>
      <c r="B254" s="9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</row>
    <row r="255">
      <c r="A255" s="96"/>
      <c r="B255" s="9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</row>
    <row r="256">
      <c r="A256" s="96"/>
      <c r="B256" s="9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</row>
    <row r="257">
      <c r="A257" s="96"/>
      <c r="B257" s="9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</row>
    <row r="258">
      <c r="A258" s="96"/>
      <c r="B258" s="9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</row>
    <row r="259">
      <c r="A259" s="96"/>
      <c r="B259" s="9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</row>
    <row r="260">
      <c r="A260" s="96"/>
      <c r="B260" s="9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</row>
    <row r="261">
      <c r="A261" s="96"/>
      <c r="B261" s="9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</row>
    <row r="262">
      <c r="A262" s="96"/>
      <c r="B262" s="9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</row>
    <row r="263">
      <c r="A263" s="96"/>
      <c r="B263" s="9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</row>
    <row r="264">
      <c r="A264" s="96"/>
      <c r="B264" s="9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</row>
    <row r="265">
      <c r="A265" s="96"/>
      <c r="B265" s="9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</row>
    <row r="266">
      <c r="A266" s="96"/>
      <c r="B266" s="9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</row>
    <row r="267">
      <c r="A267" s="96"/>
      <c r="B267" s="9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</row>
    <row r="268">
      <c r="A268" s="96"/>
      <c r="B268" s="9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</row>
    <row r="269">
      <c r="A269" s="96"/>
      <c r="B269" s="9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</row>
    <row r="270">
      <c r="A270" s="96"/>
      <c r="B270" s="9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</row>
    <row r="271">
      <c r="A271" s="96"/>
      <c r="B271" s="9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</row>
    <row r="272">
      <c r="A272" s="96"/>
      <c r="B272" s="9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</row>
    <row r="273">
      <c r="A273" s="96"/>
      <c r="B273" s="9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</row>
    <row r="274">
      <c r="A274" s="96"/>
      <c r="B274" s="9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</row>
    <row r="275">
      <c r="A275" s="96"/>
      <c r="B275" s="9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</row>
    <row r="276">
      <c r="A276" s="96"/>
      <c r="B276" s="9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</row>
    <row r="277">
      <c r="A277" s="96"/>
      <c r="B277" s="9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</row>
    <row r="278">
      <c r="A278" s="96"/>
      <c r="B278" s="9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</row>
    <row r="279">
      <c r="A279" s="96"/>
      <c r="B279" s="9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</row>
    <row r="280">
      <c r="A280" s="96"/>
      <c r="B280" s="9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</row>
    <row r="281">
      <c r="A281" s="96"/>
      <c r="B281" s="9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</row>
    <row r="282">
      <c r="A282" s="96"/>
      <c r="B282" s="9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</row>
    <row r="283">
      <c r="A283" s="96"/>
      <c r="B283" s="9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</row>
    <row r="284">
      <c r="A284" s="96"/>
      <c r="B284" s="9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</row>
    <row r="285">
      <c r="A285" s="96"/>
      <c r="B285" s="9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</row>
    <row r="286">
      <c r="A286" s="96"/>
      <c r="B286" s="9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</row>
    <row r="287">
      <c r="A287" s="96"/>
      <c r="B287" s="9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</row>
    <row r="288">
      <c r="A288" s="96"/>
      <c r="B288" s="9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</row>
    <row r="289">
      <c r="A289" s="96"/>
      <c r="B289" s="9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</row>
    <row r="290">
      <c r="A290" s="96"/>
      <c r="B290" s="9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</row>
    <row r="291">
      <c r="A291" s="96"/>
      <c r="B291" s="9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</row>
    <row r="292">
      <c r="A292" s="96"/>
      <c r="B292" s="9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</row>
    <row r="293">
      <c r="A293" s="96"/>
      <c r="B293" s="9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</row>
    <row r="294">
      <c r="A294" s="96"/>
      <c r="B294" s="9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</row>
    <row r="295">
      <c r="A295" s="96"/>
      <c r="B295" s="9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</row>
    <row r="296">
      <c r="A296" s="96"/>
      <c r="B296" s="9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</row>
    <row r="297">
      <c r="A297" s="96"/>
      <c r="B297" s="9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</row>
    <row r="298">
      <c r="A298" s="96"/>
      <c r="B298" s="9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</row>
    <row r="299">
      <c r="A299" s="96"/>
      <c r="B299" s="9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</row>
    <row r="300">
      <c r="A300" s="96"/>
      <c r="B300" s="9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</row>
    <row r="301">
      <c r="A301" s="96"/>
      <c r="B301" s="9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</row>
    <row r="302">
      <c r="A302" s="96"/>
      <c r="B302" s="9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</row>
    <row r="303">
      <c r="A303" s="96"/>
      <c r="B303" s="9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</row>
    <row r="304">
      <c r="A304" s="96"/>
      <c r="B304" s="9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</row>
    <row r="305">
      <c r="A305" s="96"/>
      <c r="B305" s="9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</row>
    <row r="306">
      <c r="A306" s="96"/>
      <c r="B306" s="9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</row>
    <row r="307">
      <c r="A307" s="96"/>
      <c r="B307" s="9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</row>
    <row r="308">
      <c r="A308" s="96"/>
      <c r="B308" s="9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</row>
    <row r="309">
      <c r="A309" s="96"/>
      <c r="B309" s="9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</row>
    <row r="310">
      <c r="A310" s="96"/>
      <c r="B310" s="9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</row>
    <row r="311">
      <c r="A311" s="96"/>
      <c r="B311" s="9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</row>
    <row r="312">
      <c r="A312" s="96"/>
      <c r="B312" s="9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</row>
    <row r="313">
      <c r="A313" s="96"/>
      <c r="B313" s="9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</row>
    <row r="314">
      <c r="A314" s="96"/>
      <c r="B314" s="9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</row>
    <row r="315">
      <c r="A315" s="96"/>
      <c r="B315" s="9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</row>
    <row r="316">
      <c r="A316" s="96"/>
      <c r="B316" s="9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</row>
    <row r="317">
      <c r="A317" s="96"/>
      <c r="B317" s="9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</row>
    <row r="318">
      <c r="A318" s="96"/>
      <c r="B318" s="9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</row>
    <row r="319">
      <c r="A319" s="96"/>
      <c r="B319" s="9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</row>
    <row r="320">
      <c r="A320" s="96"/>
      <c r="B320" s="9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</row>
    <row r="321">
      <c r="A321" s="96"/>
      <c r="B321" s="9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</row>
    <row r="322">
      <c r="A322" s="96"/>
      <c r="B322" s="9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</row>
    <row r="323">
      <c r="A323" s="96"/>
      <c r="B323" s="9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</row>
    <row r="324">
      <c r="A324" s="96"/>
      <c r="B324" s="9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</row>
    <row r="325">
      <c r="A325" s="96"/>
      <c r="B325" s="9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</row>
    <row r="326">
      <c r="A326" s="96"/>
      <c r="B326" s="9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</row>
    <row r="327">
      <c r="A327" s="96"/>
      <c r="B327" s="9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</row>
    <row r="328">
      <c r="A328" s="96"/>
      <c r="B328" s="9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</row>
    <row r="329">
      <c r="A329" s="96"/>
      <c r="B329" s="9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</row>
    <row r="330">
      <c r="A330" s="96"/>
      <c r="B330" s="9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</row>
    <row r="331">
      <c r="A331" s="96"/>
      <c r="B331" s="9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</row>
    <row r="332">
      <c r="A332" s="96"/>
      <c r="B332" s="9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</row>
    <row r="333">
      <c r="A333" s="96"/>
      <c r="B333" s="9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</row>
    <row r="334">
      <c r="A334" s="96"/>
      <c r="B334" s="9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</row>
    <row r="335">
      <c r="A335" s="96"/>
      <c r="B335" s="9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</row>
    <row r="336">
      <c r="A336" s="96"/>
      <c r="B336" s="9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</row>
    <row r="337">
      <c r="A337" s="96"/>
      <c r="B337" s="9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</row>
    <row r="338">
      <c r="A338" s="96"/>
      <c r="B338" s="9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</row>
    <row r="339">
      <c r="A339" s="96"/>
      <c r="B339" s="9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</row>
    <row r="340">
      <c r="A340" s="96"/>
      <c r="B340" s="9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</row>
    <row r="341">
      <c r="A341" s="96"/>
      <c r="B341" s="9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</row>
    <row r="342">
      <c r="A342" s="96"/>
      <c r="B342" s="9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</row>
    <row r="343">
      <c r="A343" s="96"/>
      <c r="B343" s="9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</row>
    <row r="344">
      <c r="A344" s="96"/>
      <c r="B344" s="9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</row>
    <row r="345">
      <c r="A345" s="96"/>
      <c r="B345" s="9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</row>
    <row r="346">
      <c r="A346" s="96"/>
      <c r="B346" s="9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</row>
    <row r="347">
      <c r="A347" s="96"/>
      <c r="B347" s="9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</row>
    <row r="348">
      <c r="A348" s="96"/>
      <c r="B348" s="9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</row>
    <row r="349">
      <c r="A349" s="96"/>
      <c r="B349" s="9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</row>
    <row r="350">
      <c r="A350" s="96"/>
      <c r="B350" s="9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</row>
    <row r="351">
      <c r="A351" s="96"/>
      <c r="B351" s="9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</row>
    <row r="352">
      <c r="A352" s="96"/>
      <c r="B352" s="9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</row>
    <row r="353">
      <c r="A353" s="96"/>
      <c r="B353" s="9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</row>
    <row r="354">
      <c r="A354" s="96"/>
      <c r="B354" s="9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</row>
    <row r="355">
      <c r="A355" s="96"/>
      <c r="B355" s="9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</row>
    <row r="356">
      <c r="A356" s="96"/>
      <c r="B356" s="9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</row>
    <row r="357">
      <c r="A357" s="96"/>
      <c r="B357" s="9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</row>
    <row r="358">
      <c r="A358" s="96"/>
      <c r="B358" s="9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</row>
    <row r="359">
      <c r="A359" s="96"/>
      <c r="B359" s="9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</row>
    <row r="360">
      <c r="A360" s="96"/>
      <c r="B360" s="9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</row>
    <row r="361">
      <c r="A361" s="96"/>
      <c r="B361" s="9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</row>
    <row r="362">
      <c r="A362" s="96"/>
      <c r="B362" s="9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</row>
    <row r="363">
      <c r="A363" s="96"/>
      <c r="B363" s="9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</row>
    <row r="364">
      <c r="A364" s="96"/>
      <c r="B364" s="9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</row>
    <row r="365">
      <c r="A365" s="96"/>
      <c r="B365" s="9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</row>
    <row r="366">
      <c r="A366" s="96"/>
      <c r="B366" s="9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</row>
    <row r="367">
      <c r="A367" s="96"/>
      <c r="B367" s="9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</row>
    <row r="368">
      <c r="A368" s="96"/>
      <c r="B368" s="9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</row>
    <row r="369">
      <c r="A369" s="96"/>
      <c r="B369" s="9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</row>
    <row r="370">
      <c r="A370" s="96"/>
      <c r="B370" s="9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</row>
    <row r="371">
      <c r="A371" s="96"/>
      <c r="B371" s="9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</row>
    <row r="372">
      <c r="A372" s="96"/>
      <c r="B372" s="9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</row>
    <row r="373">
      <c r="A373" s="96"/>
      <c r="B373" s="9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</row>
    <row r="374">
      <c r="A374" s="96"/>
      <c r="B374" s="9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</row>
    <row r="375">
      <c r="A375" s="96"/>
      <c r="B375" s="9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</row>
    <row r="376">
      <c r="A376" s="96"/>
      <c r="B376" s="9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</row>
    <row r="377">
      <c r="A377" s="96"/>
      <c r="B377" s="9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</row>
    <row r="378">
      <c r="A378" s="96"/>
      <c r="B378" s="9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</row>
    <row r="379">
      <c r="A379" s="96"/>
      <c r="B379" s="9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</row>
    <row r="380">
      <c r="A380" s="96"/>
      <c r="B380" s="9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</row>
    <row r="381">
      <c r="A381" s="96"/>
      <c r="B381" s="9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</row>
    <row r="382">
      <c r="A382" s="96"/>
      <c r="B382" s="9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</row>
    <row r="383">
      <c r="A383" s="96"/>
      <c r="B383" s="9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</row>
    <row r="384">
      <c r="A384" s="96"/>
      <c r="B384" s="9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</row>
    <row r="385">
      <c r="A385" s="96"/>
      <c r="B385" s="9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</row>
    <row r="386">
      <c r="A386" s="96"/>
      <c r="B386" s="9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</row>
    <row r="387">
      <c r="A387" s="96"/>
      <c r="B387" s="9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</row>
    <row r="388">
      <c r="A388" s="96"/>
      <c r="B388" s="9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</row>
    <row r="389">
      <c r="A389" s="96"/>
      <c r="B389" s="9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</row>
    <row r="390">
      <c r="A390" s="96"/>
      <c r="B390" s="9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</row>
    <row r="391">
      <c r="A391" s="96"/>
      <c r="B391" s="9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</row>
    <row r="392">
      <c r="A392" s="96"/>
      <c r="B392" s="9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</row>
    <row r="393">
      <c r="A393" s="96"/>
      <c r="B393" s="9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</row>
    <row r="394">
      <c r="A394" s="96"/>
      <c r="B394" s="9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</row>
    <row r="395">
      <c r="A395" s="96"/>
      <c r="B395" s="9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</row>
    <row r="396">
      <c r="A396" s="96"/>
      <c r="B396" s="9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</row>
    <row r="397">
      <c r="A397" s="96"/>
      <c r="B397" s="9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</row>
    <row r="398">
      <c r="A398" s="96"/>
      <c r="B398" s="9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</row>
    <row r="399">
      <c r="A399" s="96"/>
      <c r="B399" s="9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</row>
    <row r="400">
      <c r="A400" s="96"/>
      <c r="B400" s="9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</row>
    <row r="401">
      <c r="A401" s="96"/>
      <c r="B401" s="9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</row>
    <row r="402">
      <c r="A402" s="96"/>
      <c r="B402" s="9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</row>
    <row r="403">
      <c r="A403" s="96"/>
      <c r="B403" s="9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</row>
    <row r="404">
      <c r="A404" s="96"/>
      <c r="B404" s="9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</row>
    <row r="405">
      <c r="A405" s="96"/>
      <c r="B405" s="9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</row>
    <row r="406">
      <c r="A406" s="96"/>
      <c r="B406" s="9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</row>
    <row r="407">
      <c r="A407" s="96"/>
      <c r="B407" s="9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</row>
    <row r="408">
      <c r="A408" s="96"/>
      <c r="B408" s="9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</row>
    <row r="409">
      <c r="A409" s="96"/>
      <c r="B409" s="9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</row>
    <row r="410">
      <c r="A410" s="96"/>
      <c r="B410" s="9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</row>
    <row r="411">
      <c r="A411" s="96"/>
      <c r="B411" s="9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</row>
    <row r="412">
      <c r="A412" s="96"/>
      <c r="B412" s="9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</row>
    <row r="413">
      <c r="A413" s="96"/>
      <c r="B413" s="9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</row>
    <row r="414">
      <c r="A414" s="96"/>
      <c r="B414" s="9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</row>
    <row r="415">
      <c r="A415" s="96"/>
      <c r="B415" s="9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</row>
    <row r="416">
      <c r="A416" s="96"/>
      <c r="B416" s="9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</row>
    <row r="417">
      <c r="A417" s="96"/>
      <c r="B417" s="9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</row>
    <row r="418">
      <c r="A418" s="96"/>
      <c r="B418" s="9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</row>
    <row r="419">
      <c r="A419" s="96"/>
      <c r="B419" s="9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</row>
    <row r="420">
      <c r="A420" s="96"/>
      <c r="B420" s="9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</row>
    <row r="421">
      <c r="A421" s="96"/>
      <c r="B421" s="9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</row>
    <row r="422">
      <c r="A422" s="96"/>
      <c r="B422" s="9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</row>
    <row r="423">
      <c r="A423" s="96"/>
      <c r="B423" s="9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</row>
    <row r="424">
      <c r="A424" s="96"/>
      <c r="B424" s="9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</row>
    <row r="425">
      <c r="A425" s="96"/>
      <c r="B425" s="9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</row>
    <row r="426">
      <c r="A426" s="96"/>
      <c r="B426" s="9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</row>
    <row r="427">
      <c r="A427" s="96"/>
      <c r="B427" s="9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</row>
    <row r="428">
      <c r="A428" s="96"/>
      <c r="B428" s="9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</row>
    <row r="429">
      <c r="A429" s="96"/>
      <c r="B429" s="9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</row>
    <row r="430">
      <c r="A430" s="96"/>
      <c r="B430" s="9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</row>
    <row r="431">
      <c r="A431" s="96"/>
      <c r="B431" s="9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</row>
    <row r="432">
      <c r="A432" s="96"/>
      <c r="B432" s="9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</row>
    <row r="433">
      <c r="A433" s="96"/>
      <c r="B433" s="9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</row>
    <row r="434">
      <c r="A434" s="96"/>
      <c r="B434" s="9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</row>
    <row r="435">
      <c r="A435" s="96"/>
      <c r="B435" s="9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</row>
    <row r="436">
      <c r="A436" s="96"/>
      <c r="B436" s="9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</row>
    <row r="437">
      <c r="A437" s="96"/>
      <c r="B437" s="9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</row>
    <row r="438">
      <c r="A438" s="96"/>
      <c r="B438" s="9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</row>
    <row r="439">
      <c r="A439" s="96"/>
      <c r="B439" s="9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</row>
    <row r="440">
      <c r="A440" s="96"/>
      <c r="B440" s="9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</row>
    <row r="441">
      <c r="A441" s="96"/>
      <c r="B441" s="9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</row>
    <row r="442">
      <c r="A442" s="96"/>
      <c r="B442" s="9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</row>
    <row r="443">
      <c r="A443" s="96"/>
      <c r="B443" s="9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</row>
    <row r="444">
      <c r="A444" s="96"/>
      <c r="B444" s="9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</row>
    <row r="445">
      <c r="A445" s="96"/>
      <c r="B445" s="9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</row>
    <row r="446">
      <c r="A446" s="96"/>
      <c r="B446" s="9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</row>
    <row r="447">
      <c r="A447" s="96"/>
      <c r="B447" s="9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</row>
    <row r="448">
      <c r="A448" s="96"/>
      <c r="B448" s="9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</row>
    <row r="449">
      <c r="A449" s="96"/>
      <c r="B449" s="9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</row>
    <row r="450">
      <c r="A450" s="96"/>
      <c r="B450" s="9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</row>
    <row r="451">
      <c r="A451" s="96"/>
      <c r="B451" s="9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</row>
    <row r="452">
      <c r="A452" s="96"/>
      <c r="B452" s="9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</row>
    <row r="453">
      <c r="A453" s="96"/>
      <c r="B453" s="9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</row>
    <row r="454">
      <c r="A454" s="96"/>
      <c r="B454" s="9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</row>
    <row r="455">
      <c r="A455" s="96"/>
      <c r="B455" s="9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</row>
    <row r="456">
      <c r="A456" s="96"/>
      <c r="B456" s="9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</row>
    <row r="457">
      <c r="A457" s="96"/>
      <c r="B457" s="9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</row>
    <row r="458">
      <c r="A458" s="96"/>
      <c r="B458" s="9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</row>
    <row r="459">
      <c r="A459" s="96"/>
      <c r="B459" s="9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</row>
    <row r="460">
      <c r="A460" s="96"/>
      <c r="B460" s="9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</row>
    <row r="461">
      <c r="A461" s="96"/>
      <c r="B461" s="9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</row>
    <row r="462">
      <c r="A462" s="96"/>
      <c r="B462" s="9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</row>
    <row r="463">
      <c r="A463" s="96"/>
      <c r="B463" s="9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</row>
    <row r="464">
      <c r="A464" s="96"/>
      <c r="B464" s="9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</row>
    <row r="465">
      <c r="A465" s="96"/>
      <c r="B465" s="9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</row>
    <row r="466">
      <c r="A466" s="96"/>
      <c r="B466" s="9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</row>
    <row r="467">
      <c r="A467" s="96"/>
      <c r="B467" s="9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</row>
    <row r="468">
      <c r="A468" s="96"/>
      <c r="B468" s="9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</row>
    <row r="469">
      <c r="A469" s="96"/>
      <c r="B469" s="9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</row>
    <row r="470">
      <c r="A470" s="96"/>
      <c r="B470" s="9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</row>
    <row r="471">
      <c r="A471" s="96"/>
      <c r="B471" s="9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</row>
    <row r="472">
      <c r="A472" s="96"/>
      <c r="B472" s="9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</row>
    <row r="473">
      <c r="A473" s="96"/>
      <c r="B473" s="9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</row>
    <row r="474">
      <c r="A474" s="96"/>
      <c r="B474" s="9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</row>
    <row r="475">
      <c r="A475" s="96"/>
      <c r="B475" s="9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</row>
    <row r="476">
      <c r="A476" s="96"/>
      <c r="B476" s="9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</row>
    <row r="477">
      <c r="A477" s="96"/>
      <c r="B477" s="9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</row>
    <row r="478">
      <c r="A478" s="96"/>
      <c r="B478" s="9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</row>
    <row r="479">
      <c r="A479" s="96"/>
      <c r="B479" s="9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</row>
    <row r="480">
      <c r="A480" s="96"/>
      <c r="B480" s="9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</row>
    <row r="481">
      <c r="A481" s="96"/>
      <c r="B481" s="9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</row>
    <row r="482">
      <c r="A482" s="96"/>
      <c r="B482" s="9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</row>
    <row r="483">
      <c r="A483" s="96"/>
      <c r="B483" s="9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</row>
    <row r="484">
      <c r="A484" s="96"/>
      <c r="B484" s="9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</row>
    <row r="485">
      <c r="A485" s="96"/>
      <c r="B485" s="9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</row>
    <row r="486">
      <c r="A486" s="96"/>
      <c r="B486" s="9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</row>
    <row r="487">
      <c r="A487" s="96"/>
      <c r="B487" s="9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</row>
    <row r="488">
      <c r="A488" s="96"/>
      <c r="B488" s="9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</row>
    <row r="489">
      <c r="A489" s="96"/>
      <c r="B489" s="9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</row>
    <row r="490">
      <c r="A490" s="96"/>
      <c r="B490" s="9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</row>
    <row r="491">
      <c r="A491" s="96"/>
      <c r="B491" s="9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</row>
    <row r="492">
      <c r="A492" s="96"/>
      <c r="B492" s="9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</row>
    <row r="493">
      <c r="A493" s="96"/>
      <c r="B493" s="9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</row>
    <row r="494">
      <c r="A494" s="96"/>
      <c r="B494" s="9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</row>
    <row r="495">
      <c r="A495" s="96"/>
      <c r="B495" s="9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</row>
    <row r="496">
      <c r="A496" s="96"/>
      <c r="B496" s="9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</row>
    <row r="497">
      <c r="A497" s="96"/>
      <c r="B497" s="9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</row>
    <row r="498">
      <c r="A498" s="96"/>
      <c r="B498" s="9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</row>
    <row r="499">
      <c r="A499" s="96"/>
      <c r="B499" s="9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</row>
    <row r="500">
      <c r="A500" s="96"/>
      <c r="B500" s="9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</row>
    <row r="501">
      <c r="A501" s="96"/>
      <c r="B501" s="9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</row>
    <row r="502">
      <c r="A502" s="96"/>
      <c r="B502" s="9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</row>
    <row r="503">
      <c r="A503" s="96"/>
      <c r="B503" s="9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</row>
    <row r="504">
      <c r="A504" s="96"/>
      <c r="B504" s="9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</row>
    <row r="505">
      <c r="A505" s="96"/>
      <c r="B505" s="9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</row>
    <row r="506">
      <c r="A506" s="96"/>
      <c r="B506" s="9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</row>
    <row r="507">
      <c r="A507" s="96"/>
      <c r="B507" s="9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</row>
    <row r="508">
      <c r="A508" s="96"/>
      <c r="B508" s="9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</row>
    <row r="509">
      <c r="A509" s="96"/>
      <c r="B509" s="9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</row>
    <row r="510">
      <c r="A510" s="96"/>
      <c r="B510" s="9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</row>
    <row r="511">
      <c r="A511" s="96"/>
      <c r="B511" s="9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</row>
    <row r="512">
      <c r="A512" s="96"/>
      <c r="B512" s="9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</row>
    <row r="513">
      <c r="A513" s="96"/>
      <c r="B513" s="9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</row>
    <row r="514">
      <c r="A514" s="96"/>
      <c r="B514" s="9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</row>
    <row r="515">
      <c r="A515" s="96"/>
      <c r="B515" s="9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</row>
    <row r="516">
      <c r="A516" s="96"/>
      <c r="B516" s="9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</row>
    <row r="517">
      <c r="A517" s="96"/>
      <c r="B517" s="9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</row>
    <row r="518">
      <c r="A518" s="96"/>
      <c r="B518" s="9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</row>
    <row r="519">
      <c r="A519" s="96"/>
      <c r="B519" s="9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</row>
    <row r="520">
      <c r="A520" s="96"/>
      <c r="B520" s="9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</row>
    <row r="521">
      <c r="A521" s="96"/>
      <c r="B521" s="9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</row>
    <row r="522">
      <c r="A522" s="96"/>
      <c r="B522" s="9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</row>
    <row r="523">
      <c r="A523" s="96"/>
      <c r="B523" s="9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</row>
    <row r="524">
      <c r="A524" s="96"/>
      <c r="B524" s="9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</row>
    <row r="525">
      <c r="A525" s="96"/>
      <c r="B525" s="9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</row>
    <row r="526">
      <c r="A526" s="96"/>
      <c r="B526" s="9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</row>
    <row r="527">
      <c r="A527" s="96"/>
      <c r="B527" s="9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</row>
    <row r="528">
      <c r="A528" s="96"/>
      <c r="B528" s="9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</row>
    <row r="529">
      <c r="A529" s="96"/>
      <c r="B529" s="9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</row>
    <row r="530">
      <c r="A530" s="96"/>
      <c r="B530" s="9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</row>
    <row r="531">
      <c r="A531" s="96"/>
      <c r="B531" s="9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</row>
    <row r="532">
      <c r="A532" s="96"/>
      <c r="B532" s="9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</row>
    <row r="533">
      <c r="A533" s="96"/>
      <c r="B533" s="9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</row>
    <row r="534">
      <c r="A534" s="96"/>
      <c r="B534" s="9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</row>
    <row r="535">
      <c r="A535" s="96"/>
      <c r="B535" s="9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</row>
    <row r="536">
      <c r="A536" s="96"/>
      <c r="B536" s="9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</row>
    <row r="537">
      <c r="A537" s="96"/>
      <c r="B537" s="9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</row>
    <row r="538">
      <c r="A538" s="96"/>
      <c r="B538" s="9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</row>
    <row r="539">
      <c r="A539" s="96"/>
      <c r="B539" s="9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</row>
    <row r="540">
      <c r="A540" s="96"/>
      <c r="B540" s="9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</row>
    <row r="541">
      <c r="A541" s="96"/>
      <c r="B541" s="9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</row>
    <row r="542">
      <c r="A542" s="96"/>
      <c r="B542" s="9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</row>
    <row r="543">
      <c r="A543" s="96"/>
      <c r="B543" s="9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</row>
    <row r="544">
      <c r="A544" s="96"/>
      <c r="B544" s="9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</row>
    <row r="545">
      <c r="A545" s="96"/>
      <c r="B545" s="9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</row>
    <row r="546">
      <c r="A546" s="96"/>
      <c r="B546" s="9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</row>
    <row r="547">
      <c r="A547" s="96"/>
      <c r="B547" s="9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</row>
    <row r="548">
      <c r="A548" s="96"/>
      <c r="B548" s="9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</row>
    <row r="549">
      <c r="A549" s="96"/>
      <c r="B549" s="9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</row>
    <row r="550">
      <c r="A550" s="96"/>
      <c r="B550" s="9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</row>
    <row r="551">
      <c r="A551" s="96"/>
      <c r="B551" s="9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</row>
    <row r="552">
      <c r="A552" s="96"/>
      <c r="B552" s="9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</row>
    <row r="553">
      <c r="A553" s="96"/>
      <c r="B553" s="9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</row>
    <row r="554">
      <c r="A554" s="96"/>
      <c r="B554" s="9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</row>
    <row r="555">
      <c r="A555" s="96"/>
      <c r="B555" s="9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</row>
    <row r="556">
      <c r="A556" s="96"/>
      <c r="B556" s="9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</row>
    <row r="557">
      <c r="A557" s="96"/>
      <c r="B557" s="9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</row>
    <row r="558">
      <c r="A558" s="96"/>
      <c r="B558" s="9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</row>
    <row r="559">
      <c r="A559" s="96"/>
      <c r="B559" s="9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</row>
    <row r="560">
      <c r="A560" s="96"/>
      <c r="B560" s="9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</row>
    <row r="561">
      <c r="A561" s="96"/>
      <c r="B561" s="9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</row>
    <row r="562">
      <c r="A562" s="96"/>
      <c r="B562" s="9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</row>
    <row r="563">
      <c r="A563" s="96"/>
      <c r="B563" s="9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</row>
    <row r="564">
      <c r="A564" s="96"/>
      <c r="B564" s="9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</row>
    <row r="565">
      <c r="A565" s="96"/>
      <c r="B565" s="9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</row>
    <row r="566">
      <c r="A566" s="96"/>
      <c r="B566" s="9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</row>
    <row r="567">
      <c r="A567" s="96"/>
      <c r="B567" s="9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</row>
    <row r="568">
      <c r="A568" s="96"/>
      <c r="B568" s="9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</row>
    <row r="569">
      <c r="A569" s="96"/>
      <c r="B569" s="9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</row>
    <row r="570">
      <c r="A570" s="96"/>
      <c r="B570" s="9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</row>
    <row r="571">
      <c r="A571" s="96"/>
      <c r="B571" s="9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</row>
    <row r="572">
      <c r="A572" s="96"/>
      <c r="B572" s="9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</row>
    <row r="573">
      <c r="A573" s="96"/>
      <c r="B573" s="9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</row>
    <row r="574">
      <c r="A574" s="96"/>
      <c r="B574" s="9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</row>
    <row r="575">
      <c r="A575" s="96"/>
      <c r="B575" s="9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</row>
    <row r="576">
      <c r="A576" s="96"/>
      <c r="B576" s="9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</row>
    <row r="577">
      <c r="A577" s="96"/>
      <c r="B577" s="9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</row>
    <row r="578">
      <c r="A578" s="96"/>
      <c r="B578" s="9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</row>
    <row r="579">
      <c r="A579" s="96"/>
      <c r="B579" s="9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</row>
    <row r="580">
      <c r="A580" s="96"/>
      <c r="B580" s="9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</row>
    <row r="581">
      <c r="A581" s="96"/>
      <c r="B581" s="9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</row>
    <row r="582">
      <c r="A582" s="96"/>
      <c r="B582" s="9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</row>
    <row r="583">
      <c r="A583" s="96"/>
      <c r="B583" s="9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</row>
    <row r="584">
      <c r="A584" s="96"/>
      <c r="B584" s="9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</row>
    <row r="585">
      <c r="A585" s="96"/>
      <c r="B585" s="9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</row>
    <row r="586">
      <c r="A586" s="96"/>
      <c r="B586" s="9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</row>
    <row r="587">
      <c r="A587" s="96"/>
      <c r="B587" s="9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</row>
    <row r="588">
      <c r="A588" s="96"/>
      <c r="B588" s="9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</row>
    <row r="589">
      <c r="A589" s="96"/>
      <c r="B589" s="9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</row>
    <row r="590">
      <c r="A590" s="96"/>
      <c r="B590" s="9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</row>
    <row r="591">
      <c r="A591" s="96"/>
      <c r="B591" s="9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</row>
    <row r="592">
      <c r="A592" s="96"/>
      <c r="B592" s="9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</row>
    <row r="593">
      <c r="A593" s="96"/>
      <c r="B593" s="9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</row>
    <row r="594">
      <c r="A594" s="96"/>
      <c r="B594" s="9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</row>
    <row r="595">
      <c r="A595" s="96"/>
      <c r="B595" s="9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</row>
    <row r="596">
      <c r="A596" s="96"/>
      <c r="B596" s="9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</row>
    <row r="597">
      <c r="A597" s="96"/>
      <c r="B597" s="9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</row>
    <row r="598">
      <c r="A598" s="96"/>
      <c r="B598" s="9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</row>
    <row r="599">
      <c r="A599" s="96"/>
      <c r="B599" s="9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</row>
    <row r="600">
      <c r="A600" s="96"/>
      <c r="B600" s="9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</row>
    <row r="601">
      <c r="A601" s="96"/>
      <c r="B601" s="9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</row>
    <row r="602">
      <c r="A602" s="96"/>
      <c r="B602" s="9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</row>
    <row r="603">
      <c r="A603" s="96"/>
      <c r="B603" s="9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</row>
    <row r="604">
      <c r="A604" s="96"/>
      <c r="B604" s="9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</row>
    <row r="605">
      <c r="A605" s="96"/>
      <c r="B605" s="9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</row>
    <row r="606">
      <c r="A606" s="96"/>
      <c r="B606" s="9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</row>
    <row r="607">
      <c r="A607" s="96"/>
      <c r="B607" s="9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</row>
    <row r="608">
      <c r="A608" s="96"/>
      <c r="B608" s="9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</row>
    <row r="609">
      <c r="A609" s="96"/>
      <c r="B609" s="9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</row>
    <row r="610">
      <c r="A610" s="96"/>
      <c r="B610" s="9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</row>
    <row r="611">
      <c r="A611" s="96"/>
      <c r="B611" s="9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</row>
    <row r="612">
      <c r="A612" s="96"/>
      <c r="B612" s="9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</row>
    <row r="613">
      <c r="A613" s="96"/>
      <c r="B613" s="9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</row>
    <row r="614">
      <c r="A614" s="96"/>
      <c r="B614" s="9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</row>
    <row r="615">
      <c r="A615" s="96"/>
      <c r="B615" s="9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</row>
    <row r="616">
      <c r="A616" s="96"/>
      <c r="B616" s="9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</row>
    <row r="617">
      <c r="A617" s="96"/>
      <c r="B617" s="9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</row>
    <row r="618">
      <c r="A618" s="96"/>
      <c r="B618" s="9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</row>
    <row r="619">
      <c r="A619" s="96"/>
      <c r="B619" s="9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</row>
    <row r="620">
      <c r="A620" s="96"/>
      <c r="B620" s="9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</row>
    <row r="621">
      <c r="A621" s="96"/>
      <c r="B621" s="9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</row>
    <row r="622">
      <c r="A622" s="96"/>
      <c r="B622" s="9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</row>
    <row r="623">
      <c r="A623" s="96"/>
      <c r="B623" s="9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</row>
    <row r="624">
      <c r="A624" s="96"/>
      <c r="B624" s="9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</row>
    <row r="625">
      <c r="A625" s="96"/>
      <c r="B625" s="9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</row>
    <row r="626">
      <c r="A626" s="96"/>
      <c r="B626" s="9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</row>
    <row r="627">
      <c r="A627" s="96"/>
      <c r="B627" s="9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</row>
    <row r="628">
      <c r="A628" s="96"/>
      <c r="B628" s="9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</row>
    <row r="629">
      <c r="A629" s="96"/>
      <c r="B629" s="9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</row>
    <row r="630">
      <c r="A630" s="96"/>
      <c r="B630" s="9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</row>
    <row r="631">
      <c r="A631" s="96"/>
      <c r="B631" s="9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</row>
    <row r="632">
      <c r="A632" s="96"/>
      <c r="B632" s="9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</row>
    <row r="633">
      <c r="A633" s="96"/>
      <c r="B633" s="9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</row>
    <row r="634">
      <c r="A634" s="96"/>
      <c r="B634" s="9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</row>
    <row r="635">
      <c r="A635" s="96"/>
      <c r="B635" s="9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</row>
    <row r="636">
      <c r="A636" s="96"/>
      <c r="B636" s="9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</row>
    <row r="637">
      <c r="A637" s="96"/>
      <c r="B637" s="9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</row>
    <row r="638">
      <c r="A638" s="96"/>
      <c r="B638" s="9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</row>
    <row r="639">
      <c r="A639" s="96"/>
      <c r="B639" s="9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</row>
    <row r="640">
      <c r="A640" s="96"/>
      <c r="B640" s="9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</row>
    <row r="641">
      <c r="A641" s="96"/>
      <c r="B641" s="9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</row>
    <row r="642">
      <c r="A642" s="96"/>
      <c r="B642" s="9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</row>
    <row r="643">
      <c r="A643" s="96"/>
      <c r="B643" s="9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</row>
    <row r="644">
      <c r="A644" s="96"/>
      <c r="B644" s="9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</row>
    <row r="645">
      <c r="A645" s="96"/>
      <c r="B645" s="9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</row>
    <row r="646">
      <c r="A646" s="96"/>
      <c r="B646" s="9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</row>
    <row r="647">
      <c r="A647" s="96"/>
      <c r="B647" s="9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</row>
    <row r="648">
      <c r="A648" s="96"/>
      <c r="B648" s="9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</row>
    <row r="649">
      <c r="A649" s="96"/>
      <c r="B649" s="9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</row>
    <row r="650">
      <c r="A650" s="96"/>
      <c r="B650" s="9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</row>
    <row r="651">
      <c r="A651" s="96"/>
      <c r="B651" s="9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</row>
    <row r="652">
      <c r="A652" s="96"/>
      <c r="B652" s="9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</row>
    <row r="653">
      <c r="A653" s="96"/>
      <c r="B653" s="9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</row>
    <row r="654">
      <c r="A654" s="96"/>
      <c r="B654" s="9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</row>
    <row r="655">
      <c r="A655" s="96"/>
      <c r="B655" s="9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</row>
    <row r="656">
      <c r="A656" s="96"/>
      <c r="B656" s="9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</row>
    <row r="657">
      <c r="A657" s="96"/>
      <c r="B657" s="9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</row>
    <row r="658">
      <c r="A658" s="96"/>
      <c r="B658" s="9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</row>
    <row r="659">
      <c r="A659" s="96"/>
      <c r="B659" s="9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</row>
    <row r="660">
      <c r="A660" s="96"/>
      <c r="B660" s="9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</row>
    <row r="661">
      <c r="A661" s="96"/>
      <c r="B661" s="9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</row>
    <row r="662">
      <c r="A662" s="96"/>
      <c r="B662" s="9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</row>
    <row r="663">
      <c r="A663" s="96"/>
      <c r="B663" s="9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</row>
    <row r="664">
      <c r="A664" s="96"/>
      <c r="B664" s="9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</row>
    <row r="665">
      <c r="A665" s="96"/>
      <c r="B665" s="9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</row>
    <row r="666">
      <c r="A666" s="96"/>
      <c r="B666" s="9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</row>
    <row r="667">
      <c r="A667" s="96"/>
      <c r="B667" s="9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</row>
    <row r="668">
      <c r="A668" s="96"/>
      <c r="B668" s="9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</row>
    <row r="669">
      <c r="A669" s="96"/>
      <c r="B669" s="9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</row>
    <row r="670">
      <c r="A670" s="96"/>
      <c r="B670" s="9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</row>
    <row r="671">
      <c r="A671" s="96"/>
      <c r="B671" s="9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</row>
    <row r="672">
      <c r="A672" s="96"/>
      <c r="B672" s="9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</row>
    <row r="673">
      <c r="A673" s="96"/>
      <c r="B673" s="9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</row>
    <row r="674">
      <c r="A674" s="96"/>
      <c r="B674" s="9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</row>
    <row r="675">
      <c r="A675" s="96"/>
      <c r="B675" s="9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</row>
    <row r="676">
      <c r="A676" s="96"/>
      <c r="B676" s="9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</row>
    <row r="677">
      <c r="A677" s="96"/>
      <c r="B677" s="9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</row>
    <row r="678">
      <c r="A678" s="96"/>
      <c r="B678" s="9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</row>
    <row r="679">
      <c r="A679" s="96"/>
      <c r="B679" s="9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</row>
    <row r="680">
      <c r="A680" s="96"/>
      <c r="B680" s="9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</row>
    <row r="681">
      <c r="A681" s="96"/>
      <c r="B681" s="9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</row>
    <row r="682">
      <c r="A682" s="96"/>
      <c r="B682" s="9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</row>
    <row r="683">
      <c r="A683" s="96"/>
      <c r="B683" s="9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</row>
    <row r="684">
      <c r="A684" s="96"/>
      <c r="B684" s="9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</row>
    <row r="685">
      <c r="A685" s="96"/>
      <c r="B685" s="9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</row>
    <row r="686">
      <c r="A686" s="96"/>
      <c r="B686" s="9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</row>
    <row r="687">
      <c r="A687" s="96"/>
      <c r="B687" s="9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</row>
    <row r="688">
      <c r="A688" s="96"/>
      <c r="B688" s="9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</row>
    <row r="689">
      <c r="A689" s="96"/>
      <c r="B689" s="9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</row>
    <row r="690">
      <c r="A690" s="96"/>
      <c r="B690" s="9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</row>
    <row r="691">
      <c r="A691" s="96"/>
      <c r="B691" s="9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</row>
    <row r="692">
      <c r="A692" s="96"/>
      <c r="B692" s="9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</row>
    <row r="693">
      <c r="A693" s="96"/>
      <c r="B693" s="9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</row>
    <row r="694">
      <c r="A694" s="96"/>
      <c r="B694" s="9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</row>
    <row r="695">
      <c r="A695" s="96"/>
      <c r="B695" s="9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</row>
    <row r="696">
      <c r="A696" s="96"/>
      <c r="B696" s="9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</row>
    <row r="697">
      <c r="A697" s="96"/>
      <c r="B697" s="9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</row>
    <row r="698">
      <c r="A698" s="96"/>
      <c r="B698" s="9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</row>
    <row r="699">
      <c r="A699" s="96"/>
      <c r="B699" s="9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</row>
    <row r="700">
      <c r="A700" s="96"/>
      <c r="B700" s="9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</row>
    <row r="701">
      <c r="A701" s="96"/>
      <c r="B701" s="9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</row>
    <row r="702">
      <c r="A702" s="96"/>
      <c r="B702" s="9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</row>
    <row r="703">
      <c r="A703" s="96"/>
      <c r="B703" s="9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</row>
    <row r="704">
      <c r="A704" s="96"/>
      <c r="B704" s="9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</row>
    <row r="705">
      <c r="A705" s="96"/>
      <c r="B705" s="9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</row>
    <row r="706">
      <c r="A706" s="96"/>
      <c r="B706" s="9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</row>
    <row r="707">
      <c r="A707" s="96"/>
      <c r="B707" s="9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</row>
    <row r="708">
      <c r="A708" s="96"/>
      <c r="B708" s="9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</row>
    <row r="709">
      <c r="A709" s="96"/>
      <c r="B709" s="9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</row>
    <row r="710">
      <c r="A710" s="96"/>
      <c r="B710" s="9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</row>
    <row r="711">
      <c r="A711" s="96"/>
      <c r="B711" s="9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</row>
    <row r="712">
      <c r="A712" s="96"/>
      <c r="B712" s="9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</row>
    <row r="713">
      <c r="A713" s="96"/>
      <c r="B713" s="9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</row>
    <row r="714">
      <c r="A714" s="96"/>
      <c r="B714" s="9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</row>
    <row r="715">
      <c r="A715" s="96"/>
      <c r="B715" s="9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</row>
    <row r="716">
      <c r="A716" s="96"/>
      <c r="B716" s="9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</row>
    <row r="717">
      <c r="A717" s="96"/>
      <c r="B717" s="9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</row>
    <row r="718">
      <c r="A718" s="96"/>
      <c r="B718" s="9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</row>
    <row r="719">
      <c r="A719" s="96"/>
      <c r="B719" s="9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</row>
    <row r="720">
      <c r="A720" s="96"/>
      <c r="B720" s="9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</row>
    <row r="721">
      <c r="A721" s="96"/>
      <c r="B721" s="9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</row>
    <row r="722">
      <c r="A722" s="96"/>
      <c r="B722" s="9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</row>
    <row r="723">
      <c r="A723" s="96"/>
      <c r="B723" s="9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</row>
    <row r="724">
      <c r="A724" s="96"/>
      <c r="B724" s="9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</row>
    <row r="725">
      <c r="A725" s="96"/>
      <c r="B725" s="9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</row>
    <row r="726">
      <c r="A726" s="96"/>
      <c r="B726" s="9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</row>
    <row r="727">
      <c r="A727" s="96"/>
      <c r="B727" s="9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</row>
    <row r="728">
      <c r="A728" s="96"/>
      <c r="B728" s="9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</row>
    <row r="729">
      <c r="A729" s="96"/>
      <c r="B729" s="9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</row>
    <row r="730">
      <c r="A730" s="96"/>
      <c r="B730" s="9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</row>
    <row r="731">
      <c r="A731" s="96"/>
      <c r="B731" s="9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</row>
    <row r="732">
      <c r="A732" s="96"/>
      <c r="B732" s="9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</row>
    <row r="733">
      <c r="A733" s="96"/>
      <c r="B733" s="9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</row>
    <row r="734">
      <c r="A734" s="96"/>
      <c r="B734" s="9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</row>
    <row r="735">
      <c r="A735" s="96"/>
      <c r="B735" s="9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</row>
    <row r="736">
      <c r="A736" s="96"/>
      <c r="B736" s="9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</row>
    <row r="737">
      <c r="A737" s="96"/>
      <c r="B737" s="9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</row>
    <row r="738">
      <c r="A738" s="96"/>
      <c r="B738" s="9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</row>
    <row r="739">
      <c r="A739" s="96"/>
      <c r="B739" s="9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</row>
    <row r="740">
      <c r="A740" s="96"/>
      <c r="B740" s="9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</row>
    <row r="741">
      <c r="A741" s="96"/>
      <c r="B741" s="9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</row>
    <row r="742">
      <c r="A742" s="96"/>
      <c r="B742" s="9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</row>
    <row r="743">
      <c r="A743" s="96"/>
      <c r="B743" s="9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</row>
    <row r="744">
      <c r="A744" s="96"/>
      <c r="B744" s="9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</row>
    <row r="745">
      <c r="A745" s="96"/>
      <c r="B745" s="9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</row>
    <row r="746">
      <c r="A746" s="96"/>
      <c r="B746" s="9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</row>
    <row r="747">
      <c r="A747" s="96"/>
      <c r="B747" s="9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</row>
    <row r="748">
      <c r="A748" s="96"/>
      <c r="B748" s="9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</row>
    <row r="749">
      <c r="A749" s="96"/>
      <c r="B749" s="9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</row>
    <row r="750">
      <c r="A750" s="96"/>
      <c r="B750" s="9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</row>
    <row r="751">
      <c r="A751" s="96"/>
      <c r="B751" s="9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</row>
    <row r="752">
      <c r="A752" s="96"/>
      <c r="B752" s="9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</row>
    <row r="753">
      <c r="A753" s="96"/>
      <c r="B753" s="9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</row>
    <row r="754">
      <c r="A754" s="96"/>
      <c r="B754" s="9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</row>
    <row r="755">
      <c r="A755" s="96"/>
      <c r="B755" s="9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</row>
    <row r="756">
      <c r="A756" s="96"/>
      <c r="B756" s="9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</row>
    <row r="757">
      <c r="A757" s="96"/>
      <c r="B757" s="9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</row>
    <row r="758">
      <c r="A758" s="96"/>
      <c r="B758" s="9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</row>
    <row r="759">
      <c r="A759" s="96"/>
      <c r="B759" s="9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</row>
    <row r="760">
      <c r="A760" s="96"/>
      <c r="B760" s="9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</row>
    <row r="761">
      <c r="A761" s="96"/>
      <c r="B761" s="9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</row>
    <row r="762">
      <c r="A762" s="96"/>
      <c r="B762" s="9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</row>
    <row r="763">
      <c r="A763" s="96"/>
      <c r="B763" s="9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</row>
    <row r="764">
      <c r="A764" s="96"/>
      <c r="B764" s="9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</row>
    <row r="765">
      <c r="A765" s="96"/>
      <c r="B765" s="9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</row>
    <row r="766">
      <c r="A766" s="96"/>
      <c r="B766" s="9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</row>
    <row r="767">
      <c r="A767" s="96"/>
      <c r="B767" s="9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</row>
    <row r="768">
      <c r="A768" s="96"/>
      <c r="B768" s="9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</row>
    <row r="769">
      <c r="A769" s="96"/>
      <c r="B769" s="9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</row>
    <row r="770">
      <c r="A770" s="96"/>
      <c r="B770" s="9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</row>
    <row r="771">
      <c r="A771" s="96"/>
      <c r="B771" s="9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</row>
    <row r="772">
      <c r="A772" s="96"/>
      <c r="B772" s="9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</row>
    <row r="773">
      <c r="A773" s="96"/>
      <c r="B773" s="9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</row>
    <row r="774">
      <c r="A774" s="96"/>
      <c r="B774" s="9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</row>
    <row r="775">
      <c r="A775" s="96"/>
      <c r="B775" s="9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</row>
    <row r="776">
      <c r="A776" s="96"/>
      <c r="B776" s="9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</row>
    <row r="777">
      <c r="A777" s="96"/>
      <c r="B777" s="9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</row>
    <row r="778">
      <c r="A778" s="96"/>
      <c r="B778" s="9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</row>
    <row r="779">
      <c r="A779" s="96"/>
      <c r="B779" s="9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</row>
    <row r="780">
      <c r="A780" s="96"/>
      <c r="B780" s="9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</row>
    <row r="781">
      <c r="A781" s="96"/>
      <c r="B781" s="9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</row>
    <row r="782">
      <c r="A782" s="96"/>
      <c r="B782" s="9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</row>
    <row r="783">
      <c r="A783" s="96"/>
      <c r="B783" s="9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</row>
    <row r="784">
      <c r="A784" s="96"/>
      <c r="B784" s="9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</row>
    <row r="785">
      <c r="A785" s="96"/>
      <c r="B785" s="9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</row>
    <row r="786">
      <c r="A786" s="96"/>
      <c r="B786" s="9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</row>
    <row r="787">
      <c r="A787" s="96"/>
      <c r="B787" s="9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</row>
    <row r="788">
      <c r="A788" s="96"/>
      <c r="B788" s="9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</row>
    <row r="789">
      <c r="A789" s="96"/>
      <c r="B789" s="9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</row>
    <row r="790">
      <c r="A790" s="96"/>
      <c r="B790" s="9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</row>
    <row r="791">
      <c r="A791" s="96"/>
      <c r="B791" s="9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</row>
    <row r="792">
      <c r="A792" s="96"/>
      <c r="B792" s="9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</row>
    <row r="793">
      <c r="A793" s="96"/>
      <c r="B793" s="9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</row>
    <row r="794">
      <c r="A794" s="96"/>
      <c r="B794" s="9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</row>
    <row r="795">
      <c r="A795" s="96"/>
      <c r="B795" s="9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</row>
    <row r="796">
      <c r="A796" s="96"/>
      <c r="B796" s="9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</row>
    <row r="797">
      <c r="A797" s="96"/>
      <c r="B797" s="9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</row>
    <row r="798">
      <c r="A798" s="96"/>
      <c r="B798" s="9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</row>
    <row r="799">
      <c r="A799" s="96"/>
      <c r="B799" s="9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</row>
    <row r="800">
      <c r="A800" s="96"/>
      <c r="B800" s="9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</row>
    <row r="801">
      <c r="A801" s="96"/>
      <c r="B801" s="9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</row>
    <row r="802">
      <c r="A802" s="96"/>
      <c r="B802" s="9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</row>
    <row r="803">
      <c r="A803" s="96"/>
      <c r="B803" s="9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</row>
    <row r="804">
      <c r="A804" s="96"/>
      <c r="B804" s="9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</row>
    <row r="805">
      <c r="A805" s="96"/>
      <c r="B805" s="9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</row>
    <row r="806">
      <c r="A806" s="96"/>
      <c r="B806" s="9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</row>
    <row r="807">
      <c r="A807" s="96"/>
      <c r="B807" s="9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</row>
    <row r="808">
      <c r="A808" s="96"/>
      <c r="B808" s="9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</row>
    <row r="809">
      <c r="A809" s="96"/>
      <c r="B809" s="9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</row>
    <row r="810">
      <c r="A810" s="96"/>
      <c r="B810" s="9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</row>
    <row r="811">
      <c r="A811" s="96"/>
      <c r="B811" s="9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</row>
    <row r="812">
      <c r="A812" s="96"/>
      <c r="B812" s="9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</row>
    <row r="813">
      <c r="A813" s="96"/>
      <c r="B813" s="9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</row>
    <row r="814">
      <c r="A814" s="96"/>
      <c r="B814" s="9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</row>
    <row r="815">
      <c r="A815" s="96"/>
      <c r="B815" s="9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</row>
    <row r="816">
      <c r="A816" s="96"/>
      <c r="B816" s="9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</row>
    <row r="817">
      <c r="A817" s="96"/>
      <c r="B817" s="9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</row>
    <row r="818">
      <c r="A818" s="96"/>
      <c r="B818" s="9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</row>
    <row r="819">
      <c r="A819" s="96"/>
      <c r="B819" s="9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</row>
    <row r="820">
      <c r="A820" s="96"/>
      <c r="B820" s="9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</row>
    <row r="821">
      <c r="A821" s="96"/>
      <c r="B821" s="9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</row>
    <row r="822">
      <c r="A822" s="96"/>
      <c r="B822" s="9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</row>
    <row r="823">
      <c r="A823" s="96"/>
      <c r="B823" s="9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</row>
    <row r="824">
      <c r="A824" s="96"/>
      <c r="B824" s="9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</row>
    <row r="825">
      <c r="A825" s="96"/>
      <c r="B825" s="9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</row>
    <row r="826">
      <c r="A826" s="96"/>
      <c r="B826" s="9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</row>
    <row r="827">
      <c r="A827" s="96"/>
      <c r="B827" s="9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</row>
    <row r="828">
      <c r="A828" s="96"/>
      <c r="B828" s="9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</row>
    <row r="829">
      <c r="A829" s="96"/>
      <c r="B829" s="9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</row>
    <row r="830">
      <c r="A830" s="96"/>
      <c r="B830" s="9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</row>
    <row r="831">
      <c r="A831" s="96"/>
      <c r="B831" s="9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</row>
    <row r="832">
      <c r="A832" s="96"/>
      <c r="B832" s="9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</row>
    <row r="833">
      <c r="A833" s="96"/>
      <c r="B833" s="9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</row>
    <row r="834">
      <c r="A834" s="96"/>
      <c r="B834" s="9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</row>
    <row r="835">
      <c r="A835" s="96"/>
      <c r="B835" s="9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</row>
    <row r="836">
      <c r="A836" s="96"/>
      <c r="B836" s="9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</row>
    <row r="837">
      <c r="A837" s="96"/>
      <c r="B837" s="9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</row>
    <row r="838">
      <c r="A838" s="96"/>
      <c r="B838" s="9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</row>
    <row r="839">
      <c r="A839" s="96"/>
      <c r="B839" s="9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</row>
    <row r="840">
      <c r="A840" s="96"/>
      <c r="B840" s="9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</row>
    <row r="841">
      <c r="A841" s="96"/>
      <c r="B841" s="9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</row>
    <row r="842">
      <c r="A842" s="96"/>
      <c r="B842" s="9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</row>
    <row r="843">
      <c r="A843" s="96"/>
      <c r="B843" s="9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</row>
    <row r="844">
      <c r="A844" s="96"/>
      <c r="B844" s="9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</row>
    <row r="845">
      <c r="A845" s="96"/>
      <c r="B845" s="9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</row>
    <row r="846">
      <c r="A846" s="96"/>
      <c r="B846" s="9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</row>
    <row r="847">
      <c r="A847" s="96"/>
      <c r="B847" s="9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</row>
    <row r="848">
      <c r="A848" s="96"/>
      <c r="B848" s="9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</row>
    <row r="849">
      <c r="A849" s="96"/>
      <c r="B849" s="9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</row>
    <row r="850">
      <c r="A850" s="96"/>
      <c r="B850" s="9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</row>
    <row r="851">
      <c r="A851" s="96"/>
      <c r="B851" s="9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</row>
    <row r="852">
      <c r="A852" s="96"/>
      <c r="B852" s="9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</row>
    <row r="853">
      <c r="A853" s="96"/>
      <c r="B853" s="9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</row>
    <row r="854">
      <c r="A854" s="96"/>
      <c r="B854" s="9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</row>
    <row r="855">
      <c r="A855" s="96"/>
      <c r="B855" s="9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</row>
    <row r="856">
      <c r="A856" s="96"/>
      <c r="B856" s="9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</row>
    <row r="857">
      <c r="A857" s="96"/>
      <c r="B857" s="9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</row>
    <row r="858">
      <c r="A858" s="96"/>
      <c r="B858" s="9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</row>
    <row r="859">
      <c r="A859" s="96"/>
      <c r="B859" s="9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</row>
    <row r="860">
      <c r="A860" s="96"/>
      <c r="B860" s="9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</row>
    <row r="861">
      <c r="A861" s="96"/>
      <c r="B861" s="9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</row>
    <row r="862">
      <c r="A862" s="96"/>
      <c r="B862" s="9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</row>
    <row r="863">
      <c r="A863" s="96"/>
      <c r="B863" s="9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</row>
    <row r="864">
      <c r="A864" s="96"/>
      <c r="B864" s="9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</row>
    <row r="865">
      <c r="A865" s="96"/>
      <c r="B865" s="9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</row>
    <row r="866">
      <c r="A866" s="96"/>
      <c r="B866" s="9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</row>
    <row r="867">
      <c r="A867" s="96"/>
      <c r="B867" s="9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</row>
    <row r="868">
      <c r="A868" s="96"/>
      <c r="B868" s="9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</row>
    <row r="869">
      <c r="A869" s="96"/>
      <c r="B869" s="9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</row>
    <row r="870">
      <c r="A870" s="96"/>
      <c r="B870" s="9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</row>
    <row r="871">
      <c r="A871" s="96"/>
      <c r="B871" s="9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</row>
    <row r="872">
      <c r="A872" s="96"/>
      <c r="B872" s="9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</row>
    <row r="873">
      <c r="A873" s="96"/>
      <c r="B873" s="9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</row>
    <row r="874">
      <c r="A874" s="96"/>
      <c r="B874" s="9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</row>
    <row r="875">
      <c r="A875" s="96"/>
      <c r="B875" s="9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</row>
    <row r="876">
      <c r="A876" s="96"/>
      <c r="B876" s="9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</row>
    <row r="877">
      <c r="A877" s="96"/>
      <c r="B877" s="9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</row>
    <row r="878">
      <c r="A878" s="96"/>
      <c r="B878" s="9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</row>
    <row r="879">
      <c r="A879" s="96"/>
      <c r="B879" s="9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</row>
    <row r="880">
      <c r="A880" s="96"/>
      <c r="B880" s="9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</row>
    <row r="881">
      <c r="A881" s="96"/>
      <c r="B881" s="9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</row>
    <row r="882">
      <c r="A882" s="96"/>
      <c r="B882" s="9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</row>
    <row r="883">
      <c r="A883" s="96"/>
      <c r="B883" s="9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</row>
    <row r="884">
      <c r="A884" s="96"/>
      <c r="B884" s="9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</row>
    <row r="885">
      <c r="A885" s="96"/>
      <c r="B885" s="9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</row>
    <row r="886">
      <c r="A886" s="96"/>
      <c r="B886" s="9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</row>
    <row r="887">
      <c r="A887" s="96"/>
      <c r="B887" s="9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</row>
    <row r="888">
      <c r="A888" s="96"/>
      <c r="B888" s="9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</row>
    <row r="889">
      <c r="A889" s="96"/>
      <c r="B889" s="9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</row>
    <row r="890">
      <c r="A890" s="96"/>
      <c r="B890" s="9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</row>
    <row r="891">
      <c r="A891" s="96"/>
      <c r="B891" s="9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</row>
    <row r="892">
      <c r="A892" s="96"/>
      <c r="B892" s="9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</row>
    <row r="893">
      <c r="A893" s="96"/>
      <c r="B893" s="9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</row>
    <row r="894">
      <c r="A894" s="96"/>
      <c r="B894" s="9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</row>
    <row r="895">
      <c r="A895" s="96"/>
      <c r="B895" s="9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</row>
    <row r="896">
      <c r="A896" s="96"/>
      <c r="B896" s="9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</row>
    <row r="897">
      <c r="A897" s="96"/>
      <c r="B897" s="9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</row>
    <row r="898">
      <c r="A898" s="96"/>
      <c r="B898" s="9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</row>
    <row r="899">
      <c r="A899" s="96"/>
      <c r="B899" s="9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</row>
    <row r="900">
      <c r="A900" s="96"/>
      <c r="B900" s="9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</row>
    <row r="901">
      <c r="A901" s="96"/>
      <c r="B901" s="9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</row>
    <row r="902">
      <c r="A902" s="96"/>
      <c r="B902" s="9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</row>
    <row r="903">
      <c r="A903" s="96"/>
      <c r="B903" s="9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</row>
    <row r="904">
      <c r="A904" s="96"/>
      <c r="B904" s="9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</row>
    <row r="905">
      <c r="A905" s="96"/>
      <c r="B905" s="9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</row>
    <row r="906">
      <c r="A906" s="96"/>
      <c r="B906" s="9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</row>
    <row r="907">
      <c r="A907" s="96"/>
      <c r="B907" s="9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</row>
    <row r="908">
      <c r="A908" s="96"/>
      <c r="B908" s="9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</row>
    <row r="909">
      <c r="A909" s="96"/>
      <c r="B909" s="9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</row>
    <row r="910">
      <c r="A910" s="96"/>
      <c r="B910" s="9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</row>
    <row r="911">
      <c r="A911" s="96"/>
      <c r="B911" s="9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</row>
    <row r="912">
      <c r="A912" s="96"/>
      <c r="B912" s="9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</row>
    <row r="913">
      <c r="A913" s="96"/>
      <c r="B913" s="9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</row>
    <row r="914">
      <c r="A914" s="96"/>
      <c r="B914" s="9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</row>
    <row r="915">
      <c r="A915" s="96"/>
      <c r="B915" s="9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</row>
    <row r="916">
      <c r="A916" s="96"/>
      <c r="B916" s="9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</row>
    <row r="917">
      <c r="A917" s="96"/>
      <c r="B917" s="9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</row>
    <row r="918">
      <c r="A918" s="96"/>
      <c r="B918" s="9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</row>
    <row r="919">
      <c r="A919" s="96"/>
      <c r="B919" s="9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</row>
    <row r="920">
      <c r="A920" s="96"/>
      <c r="B920" s="9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</row>
    <row r="921">
      <c r="A921" s="96"/>
      <c r="B921" s="9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</row>
    <row r="922">
      <c r="A922" s="96"/>
      <c r="B922" s="9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</row>
    <row r="923">
      <c r="A923" s="96"/>
      <c r="B923" s="9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</row>
    <row r="924">
      <c r="A924" s="96"/>
      <c r="B924" s="9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</row>
    <row r="925">
      <c r="A925" s="96"/>
      <c r="B925" s="9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</row>
    <row r="926">
      <c r="A926" s="96"/>
      <c r="B926" s="9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</row>
    <row r="927">
      <c r="A927" s="96"/>
      <c r="B927" s="9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</row>
    <row r="928">
      <c r="A928" s="96"/>
      <c r="B928" s="9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</row>
    <row r="929">
      <c r="A929" s="96"/>
      <c r="B929" s="9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</row>
    <row r="930">
      <c r="A930" s="96"/>
      <c r="B930" s="9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</row>
    <row r="931">
      <c r="A931" s="96"/>
      <c r="B931" s="9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</row>
    <row r="932">
      <c r="A932" s="96"/>
      <c r="B932" s="9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</row>
    <row r="933">
      <c r="A933" s="96"/>
      <c r="B933" s="9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</row>
    <row r="934">
      <c r="A934" s="96"/>
      <c r="B934" s="9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</row>
    <row r="935">
      <c r="A935" s="96"/>
      <c r="B935" s="9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</row>
    <row r="936">
      <c r="A936" s="96"/>
      <c r="B936" s="9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</row>
    <row r="937">
      <c r="A937" s="96"/>
      <c r="B937" s="9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</row>
    <row r="938">
      <c r="A938" s="96"/>
      <c r="B938" s="9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</row>
    <row r="939">
      <c r="A939" s="96"/>
      <c r="B939" s="9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</row>
    <row r="940">
      <c r="A940" s="96"/>
      <c r="B940" s="9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</row>
    <row r="941">
      <c r="A941" s="96"/>
      <c r="B941" s="9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</row>
    <row r="942">
      <c r="A942" s="96"/>
      <c r="B942" s="9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</row>
    <row r="943">
      <c r="A943" s="96"/>
      <c r="B943" s="9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</row>
    <row r="944">
      <c r="A944" s="96"/>
      <c r="B944" s="9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</row>
    <row r="945">
      <c r="A945" s="96"/>
      <c r="B945" s="9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</row>
    <row r="946">
      <c r="A946" s="96"/>
      <c r="B946" s="9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</row>
    <row r="947">
      <c r="A947" s="96"/>
      <c r="B947" s="9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</row>
    <row r="948">
      <c r="A948" s="96"/>
      <c r="B948" s="9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</row>
    <row r="949">
      <c r="A949" s="96"/>
      <c r="B949" s="9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</row>
    <row r="950">
      <c r="A950" s="96"/>
      <c r="B950" s="9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</row>
    <row r="951">
      <c r="A951" s="96"/>
      <c r="B951" s="9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</row>
    <row r="952">
      <c r="A952" s="96"/>
      <c r="B952" s="9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</row>
    <row r="953">
      <c r="A953" s="96"/>
      <c r="B953" s="9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</row>
    <row r="954">
      <c r="A954" s="96"/>
      <c r="B954" s="9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</row>
    <row r="955">
      <c r="A955" s="96"/>
      <c r="B955" s="9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</row>
    <row r="956">
      <c r="A956" s="96"/>
      <c r="B956" s="9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</row>
    <row r="957">
      <c r="A957" s="96"/>
      <c r="B957" s="9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</row>
    <row r="958">
      <c r="A958" s="96"/>
      <c r="B958" s="9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</row>
    <row r="959">
      <c r="A959" s="96"/>
      <c r="B959" s="9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</row>
    <row r="960">
      <c r="A960" s="96"/>
      <c r="B960" s="9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</row>
    <row r="961">
      <c r="A961" s="96"/>
      <c r="B961" s="9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</row>
    <row r="962">
      <c r="A962" s="96"/>
      <c r="B962" s="9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</row>
    <row r="963">
      <c r="A963" s="96"/>
      <c r="B963" s="9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</row>
    <row r="964">
      <c r="A964" s="96"/>
      <c r="B964" s="9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</row>
    <row r="965">
      <c r="A965" s="96"/>
      <c r="B965" s="9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</row>
    <row r="966">
      <c r="A966" s="96"/>
      <c r="B966" s="9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</row>
    <row r="967">
      <c r="A967" s="96"/>
      <c r="B967" s="9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</row>
    <row r="968">
      <c r="A968" s="96"/>
      <c r="B968" s="9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</row>
    <row r="969">
      <c r="A969" s="96"/>
      <c r="B969" s="9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</row>
    <row r="970">
      <c r="A970" s="96"/>
      <c r="B970" s="9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</row>
    <row r="971">
      <c r="A971" s="96"/>
      <c r="B971" s="9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</row>
    <row r="972">
      <c r="A972" s="96"/>
      <c r="B972" s="9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</row>
    <row r="973">
      <c r="A973" s="96"/>
      <c r="B973" s="9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</row>
    <row r="974">
      <c r="A974" s="96"/>
      <c r="B974" s="9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</row>
    <row r="975">
      <c r="A975" s="96"/>
      <c r="B975" s="9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</row>
    <row r="976">
      <c r="A976" s="96"/>
      <c r="B976" s="9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</row>
    <row r="977">
      <c r="A977" s="96"/>
      <c r="B977" s="9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</row>
    <row r="978">
      <c r="A978" s="96"/>
      <c r="B978" s="9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</row>
    <row r="979">
      <c r="A979" s="96"/>
      <c r="B979" s="9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</row>
    <row r="980">
      <c r="A980" s="96"/>
      <c r="B980" s="9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</row>
    <row r="981">
      <c r="A981" s="96"/>
      <c r="B981" s="9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</row>
    <row r="982">
      <c r="A982" s="96"/>
      <c r="B982" s="9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</row>
    <row r="983">
      <c r="A983" s="96"/>
      <c r="B983" s="9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</row>
    <row r="984">
      <c r="A984" s="96"/>
      <c r="B984" s="9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</row>
    <row r="985">
      <c r="A985" s="96"/>
      <c r="B985" s="9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</row>
    <row r="986">
      <c r="A986" s="96"/>
      <c r="B986" s="9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</row>
    <row r="987">
      <c r="A987" s="96"/>
      <c r="B987" s="9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</row>
    <row r="988">
      <c r="A988" s="96"/>
      <c r="B988" s="9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</row>
    <row r="989">
      <c r="A989" s="96"/>
      <c r="B989" s="9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</row>
    <row r="990">
      <c r="A990" s="96"/>
      <c r="B990" s="9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</row>
    <row r="991">
      <c r="A991" s="96"/>
      <c r="B991" s="9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</row>
    <row r="992">
      <c r="A992" s="96"/>
      <c r="B992" s="9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</row>
    <row r="993">
      <c r="A993" s="96"/>
      <c r="B993" s="9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</row>
    <row r="994">
      <c r="A994" s="96"/>
      <c r="B994" s="9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</row>
    <row r="995">
      <c r="A995" s="96"/>
      <c r="B995" s="9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</row>
    <row r="996">
      <c r="A996" s="96"/>
      <c r="B996" s="9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</row>
    <row r="997">
      <c r="A997" s="96"/>
      <c r="B997" s="9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</row>
    <row r="998">
      <c r="A998" s="96"/>
      <c r="B998" s="9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</row>
    <row r="999">
      <c r="A999" s="96"/>
      <c r="B999" s="9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</row>
    <row r="1000">
      <c r="A1000" s="96"/>
      <c r="B1000" s="9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</row>
    <row r="1001">
      <c r="A1001" s="96"/>
      <c r="B1001" s="9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</row>
    <row r="1002">
      <c r="A1002" s="96"/>
      <c r="B1002" s="9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</row>
    <row r="1003">
      <c r="A1003" s="96"/>
      <c r="B1003" s="9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</row>
  </sheetData>
  <mergeCells count="51">
    <mergeCell ref="D1:Q1"/>
    <mergeCell ref="D2:Q2"/>
    <mergeCell ref="D3:Q3"/>
    <mergeCell ref="D4:Q4"/>
    <mergeCell ref="D5:Q5"/>
    <mergeCell ref="D6:Q6"/>
    <mergeCell ref="D7:Q7"/>
    <mergeCell ref="D8:Q8"/>
    <mergeCell ref="D9:Q9"/>
    <mergeCell ref="D10:Q10"/>
    <mergeCell ref="D11:Q11"/>
    <mergeCell ref="D12:Q12"/>
    <mergeCell ref="D13:Q13"/>
    <mergeCell ref="D14:Q14"/>
    <mergeCell ref="D15:Q15"/>
    <mergeCell ref="D16:Q16"/>
    <mergeCell ref="D17:Q17"/>
    <mergeCell ref="D18:Q18"/>
    <mergeCell ref="D19:Q19"/>
    <mergeCell ref="D20:Q20"/>
    <mergeCell ref="D21:Q21"/>
    <mergeCell ref="D22:Q22"/>
    <mergeCell ref="D23:Q23"/>
    <mergeCell ref="D24:Q24"/>
    <mergeCell ref="D25:Q25"/>
    <mergeCell ref="D26:Q26"/>
    <mergeCell ref="D27:Q27"/>
    <mergeCell ref="D29:Q29"/>
    <mergeCell ref="D30:Q30"/>
    <mergeCell ref="D31:Q31"/>
    <mergeCell ref="D32:Q32"/>
    <mergeCell ref="D33:Q33"/>
    <mergeCell ref="D34:Q34"/>
    <mergeCell ref="D35:Q35"/>
    <mergeCell ref="D36:Q36"/>
    <mergeCell ref="D37:Q37"/>
    <mergeCell ref="D38:Q38"/>
    <mergeCell ref="D39:Q39"/>
    <mergeCell ref="D40:Q40"/>
    <mergeCell ref="D41:Q41"/>
    <mergeCell ref="D42:Q42"/>
    <mergeCell ref="D43:Q43"/>
    <mergeCell ref="D51:Q51"/>
    <mergeCell ref="B56:H56"/>
    <mergeCell ref="D44:Q44"/>
    <mergeCell ref="D45:Q45"/>
    <mergeCell ref="D46:Q46"/>
    <mergeCell ref="D47:Q47"/>
    <mergeCell ref="D48:Q48"/>
    <mergeCell ref="D49:Q49"/>
    <mergeCell ref="D50:Q50"/>
  </mergeCells>
  <drawing r:id="rId1"/>
</worksheet>
</file>