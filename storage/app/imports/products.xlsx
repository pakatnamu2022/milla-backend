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laragon\www\milla-backend\storage\app\imports\"/>
    </mc:Choice>
  </mc:AlternateContent>
  <xr:revisionPtr revIDLastSave="0" documentId="13_ncr:1_{3126E9F3-3C84-4033-9FFA-441B6E7FD97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" i="1" l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L2" i="1"/>
  <c r="M2" i="1" s="1"/>
  <c r="L3" i="1"/>
  <c r="M3" i="1" s="1"/>
  <c r="L4" i="1"/>
  <c r="M4" i="1" s="1"/>
  <c r="L5" i="1"/>
  <c r="M5" i="1" s="1"/>
  <c r="L6" i="1"/>
  <c r="M6" i="1" s="1"/>
  <c r="L7" i="1"/>
  <c r="M7" i="1" s="1"/>
  <c r="L8" i="1"/>
  <c r="M8" i="1" s="1"/>
  <c r="L9" i="1"/>
  <c r="M9" i="1" s="1"/>
  <c r="L10" i="1"/>
  <c r="M10" i="1" s="1"/>
  <c r="L11" i="1"/>
  <c r="M11" i="1" s="1"/>
  <c r="L12" i="1"/>
  <c r="M12" i="1" s="1"/>
  <c r="L13" i="1"/>
  <c r="M13" i="1" s="1"/>
  <c r="L14" i="1"/>
  <c r="M14" i="1" s="1"/>
  <c r="L15" i="1"/>
  <c r="M15" i="1" s="1"/>
  <c r="L16" i="1"/>
  <c r="M16" i="1" s="1"/>
  <c r="L17" i="1"/>
  <c r="M17" i="1" s="1"/>
  <c r="L18" i="1"/>
  <c r="M18" i="1" s="1"/>
  <c r="L19" i="1"/>
  <c r="M19" i="1" s="1"/>
  <c r="L20" i="1"/>
  <c r="M20" i="1" s="1"/>
  <c r="L21" i="1"/>
  <c r="M21" i="1" s="1"/>
  <c r="L22" i="1"/>
  <c r="M22" i="1" s="1"/>
  <c r="L23" i="1"/>
  <c r="M23" i="1" s="1"/>
  <c r="L24" i="1"/>
  <c r="M24" i="1" s="1"/>
  <c r="L25" i="1"/>
  <c r="M25" i="1" s="1"/>
  <c r="L26" i="1"/>
  <c r="M26" i="1" s="1"/>
  <c r="L27" i="1"/>
  <c r="M27" i="1" s="1"/>
  <c r="L28" i="1"/>
  <c r="M28" i="1" s="1"/>
  <c r="L29" i="1"/>
  <c r="M29" i="1" s="1"/>
  <c r="L30" i="1"/>
  <c r="M30" i="1" s="1"/>
  <c r="L31" i="1"/>
  <c r="M31" i="1" s="1"/>
  <c r="L32" i="1"/>
  <c r="M32" i="1" s="1"/>
  <c r="L33" i="1"/>
  <c r="M33" i="1" s="1"/>
  <c r="L34" i="1"/>
  <c r="M34" i="1" s="1"/>
  <c r="L35" i="1"/>
  <c r="M35" i="1" s="1"/>
  <c r="L36" i="1"/>
  <c r="M36" i="1" s="1"/>
  <c r="L37" i="1"/>
  <c r="M37" i="1" s="1"/>
  <c r="L38" i="1"/>
  <c r="M38" i="1" s="1"/>
  <c r="L39" i="1"/>
  <c r="M39" i="1" s="1"/>
  <c r="L40" i="1"/>
  <c r="M40" i="1" s="1"/>
  <c r="L41" i="1"/>
  <c r="M41" i="1" s="1"/>
  <c r="L42" i="1"/>
  <c r="M42" i="1" s="1"/>
  <c r="L43" i="1"/>
  <c r="M43" i="1" s="1"/>
  <c r="L44" i="1"/>
  <c r="M44" i="1" s="1"/>
  <c r="L45" i="1"/>
  <c r="M45" i="1" s="1"/>
  <c r="L46" i="1"/>
  <c r="M46" i="1" s="1"/>
  <c r="L47" i="1"/>
  <c r="M47" i="1" s="1"/>
  <c r="L48" i="1"/>
  <c r="M48" i="1" s="1"/>
  <c r="L49" i="1"/>
  <c r="M49" i="1" s="1"/>
  <c r="L50" i="1"/>
  <c r="M50" i="1" s="1"/>
  <c r="L51" i="1"/>
  <c r="M51" i="1" s="1"/>
  <c r="L52" i="1"/>
  <c r="M52" i="1" s="1"/>
  <c r="L53" i="1"/>
  <c r="M53" i="1" s="1"/>
  <c r="L54" i="1"/>
  <c r="M54" i="1" s="1"/>
  <c r="L55" i="1"/>
  <c r="M55" i="1" s="1"/>
  <c r="L56" i="1"/>
  <c r="M56" i="1" s="1"/>
  <c r="L57" i="1"/>
  <c r="M57" i="1" s="1"/>
  <c r="L58" i="1"/>
  <c r="M58" i="1" s="1"/>
  <c r="L59" i="1"/>
  <c r="M59" i="1" s="1"/>
  <c r="L60" i="1"/>
  <c r="M60" i="1" s="1"/>
  <c r="L61" i="1"/>
  <c r="M61" i="1" s="1"/>
  <c r="L62" i="1"/>
  <c r="M62" i="1" s="1"/>
  <c r="L63" i="1"/>
  <c r="M63" i="1" s="1"/>
  <c r="L64" i="1"/>
  <c r="M64" i="1" s="1"/>
  <c r="L65" i="1"/>
  <c r="M65" i="1" s="1"/>
  <c r="L66" i="1"/>
  <c r="M66" i="1" s="1"/>
  <c r="L67" i="1"/>
  <c r="M67" i="1" s="1"/>
  <c r="L68" i="1"/>
  <c r="M68" i="1" s="1"/>
  <c r="L69" i="1"/>
  <c r="M69" i="1" s="1"/>
  <c r="L70" i="1"/>
  <c r="M70" i="1" s="1"/>
  <c r="L71" i="1"/>
  <c r="M71" i="1" s="1"/>
  <c r="L72" i="1"/>
  <c r="M72" i="1" s="1"/>
  <c r="L73" i="1"/>
  <c r="M73" i="1" s="1"/>
  <c r="L74" i="1"/>
  <c r="M74" i="1" s="1"/>
  <c r="L75" i="1"/>
  <c r="M75" i="1" s="1"/>
  <c r="L76" i="1"/>
  <c r="M76" i="1" s="1"/>
  <c r="L77" i="1"/>
  <c r="M77" i="1" s="1"/>
  <c r="L78" i="1"/>
  <c r="M78" i="1" s="1"/>
  <c r="L79" i="1"/>
  <c r="M79" i="1" s="1"/>
  <c r="L80" i="1"/>
  <c r="M80" i="1" s="1"/>
  <c r="L81" i="1"/>
  <c r="M81" i="1" s="1"/>
  <c r="L82" i="1"/>
  <c r="M82" i="1" s="1"/>
  <c r="L83" i="1"/>
  <c r="M83" i="1" s="1"/>
  <c r="L84" i="1"/>
  <c r="M84" i="1" s="1"/>
  <c r="L85" i="1"/>
  <c r="M85" i="1" s="1"/>
  <c r="L86" i="1"/>
  <c r="M86" i="1" s="1"/>
  <c r="L87" i="1"/>
  <c r="M87" i="1" s="1"/>
  <c r="L88" i="1"/>
  <c r="M88" i="1" s="1"/>
  <c r="L89" i="1"/>
  <c r="M89" i="1" s="1"/>
  <c r="L90" i="1"/>
  <c r="M90" i="1" s="1"/>
  <c r="L91" i="1"/>
  <c r="M91" i="1" s="1"/>
  <c r="L92" i="1"/>
  <c r="M92" i="1" s="1"/>
  <c r="L93" i="1"/>
  <c r="M93" i="1" s="1"/>
  <c r="L94" i="1"/>
  <c r="M94" i="1" s="1"/>
  <c r="L95" i="1"/>
  <c r="M95" i="1" s="1"/>
  <c r="L96" i="1"/>
  <c r="M96" i="1" s="1"/>
  <c r="L97" i="1"/>
  <c r="M97" i="1" s="1"/>
  <c r="L98" i="1"/>
  <c r="M98" i="1" s="1"/>
  <c r="L99" i="1"/>
  <c r="M99" i="1" s="1"/>
  <c r="L100" i="1"/>
  <c r="M100" i="1" s="1"/>
  <c r="L101" i="1"/>
  <c r="M101" i="1" s="1"/>
  <c r="L102" i="1"/>
  <c r="M102" i="1" s="1"/>
  <c r="L103" i="1"/>
  <c r="M103" i="1" s="1"/>
  <c r="L104" i="1"/>
  <c r="M104" i="1" s="1"/>
  <c r="L105" i="1"/>
  <c r="M105" i="1" s="1"/>
  <c r="L106" i="1"/>
  <c r="M106" i="1" s="1"/>
  <c r="L107" i="1"/>
  <c r="M107" i="1" s="1"/>
  <c r="L108" i="1"/>
  <c r="M108" i="1" s="1"/>
  <c r="L109" i="1"/>
  <c r="M109" i="1" s="1"/>
  <c r="L110" i="1"/>
  <c r="M110" i="1" s="1"/>
  <c r="L111" i="1"/>
  <c r="M111" i="1" s="1"/>
  <c r="L112" i="1"/>
  <c r="M112" i="1" s="1"/>
  <c r="L113" i="1"/>
  <c r="M113" i="1" s="1"/>
  <c r="L114" i="1"/>
  <c r="M114" i="1" s="1"/>
  <c r="L115" i="1"/>
  <c r="M115" i="1" s="1"/>
  <c r="L116" i="1"/>
  <c r="M116" i="1" s="1"/>
  <c r="L117" i="1"/>
  <c r="M117" i="1" s="1"/>
  <c r="L118" i="1"/>
  <c r="M118" i="1" s="1"/>
  <c r="L119" i="1"/>
  <c r="M119" i="1" s="1"/>
  <c r="L120" i="1"/>
  <c r="M120" i="1" s="1"/>
  <c r="L121" i="1"/>
  <c r="M121" i="1" s="1"/>
  <c r="L122" i="1"/>
  <c r="M122" i="1" s="1"/>
  <c r="L123" i="1"/>
  <c r="M123" i="1" s="1"/>
  <c r="L124" i="1"/>
  <c r="M124" i="1" s="1"/>
  <c r="L125" i="1"/>
  <c r="M125" i="1" s="1"/>
  <c r="L126" i="1"/>
  <c r="M126" i="1" s="1"/>
  <c r="L127" i="1"/>
  <c r="M127" i="1" s="1"/>
  <c r="L128" i="1"/>
  <c r="M128" i="1" s="1"/>
  <c r="L129" i="1"/>
  <c r="M129" i="1" s="1"/>
  <c r="L130" i="1"/>
  <c r="M130" i="1" s="1"/>
  <c r="L131" i="1"/>
  <c r="M131" i="1" s="1"/>
  <c r="L132" i="1"/>
  <c r="M132" i="1" s="1"/>
  <c r="L133" i="1"/>
  <c r="M133" i="1" s="1"/>
  <c r="L134" i="1"/>
  <c r="M134" i="1" s="1"/>
  <c r="L135" i="1"/>
  <c r="M135" i="1" s="1"/>
  <c r="L136" i="1"/>
  <c r="M136" i="1" s="1"/>
  <c r="L137" i="1"/>
  <c r="M137" i="1" s="1"/>
  <c r="L138" i="1"/>
  <c r="M138" i="1" s="1"/>
  <c r="L139" i="1"/>
  <c r="M139" i="1" s="1"/>
  <c r="L140" i="1"/>
  <c r="M140" i="1" s="1"/>
  <c r="L141" i="1"/>
  <c r="M141" i="1" s="1"/>
  <c r="L142" i="1"/>
  <c r="M142" i="1" s="1"/>
  <c r="L143" i="1"/>
  <c r="M143" i="1" s="1"/>
  <c r="L144" i="1"/>
  <c r="M144" i="1" s="1"/>
  <c r="L145" i="1"/>
  <c r="M145" i="1" s="1"/>
  <c r="L146" i="1"/>
  <c r="M146" i="1" s="1"/>
  <c r="L147" i="1"/>
  <c r="M147" i="1" s="1"/>
  <c r="L148" i="1"/>
  <c r="M148" i="1" s="1"/>
  <c r="L149" i="1"/>
  <c r="M149" i="1" s="1"/>
  <c r="L150" i="1"/>
  <c r="M150" i="1" s="1"/>
  <c r="L151" i="1"/>
  <c r="M151" i="1" s="1"/>
  <c r="L152" i="1"/>
  <c r="M152" i="1" s="1"/>
  <c r="L153" i="1"/>
  <c r="M153" i="1" s="1"/>
  <c r="L154" i="1"/>
  <c r="M154" i="1" s="1"/>
  <c r="L155" i="1"/>
  <c r="M155" i="1" s="1"/>
  <c r="L156" i="1"/>
  <c r="M156" i="1" s="1"/>
  <c r="L157" i="1"/>
  <c r="M157" i="1" s="1"/>
  <c r="L158" i="1"/>
  <c r="M158" i="1" s="1"/>
  <c r="L159" i="1"/>
  <c r="M159" i="1" s="1"/>
  <c r="L160" i="1"/>
  <c r="M160" i="1" s="1"/>
  <c r="L161" i="1"/>
  <c r="M161" i="1" s="1"/>
  <c r="L162" i="1"/>
  <c r="M162" i="1" s="1"/>
  <c r="L163" i="1"/>
  <c r="M163" i="1" s="1"/>
  <c r="L164" i="1"/>
  <c r="M164" i="1" s="1"/>
  <c r="L165" i="1"/>
  <c r="M165" i="1" s="1"/>
  <c r="L166" i="1"/>
  <c r="M166" i="1" s="1"/>
  <c r="L167" i="1"/>
  <c r="M167" i="1" s="1"/>
  <c r="L168" i="1"/>
  <c r="M168" i="1" s="1"/>
  <c r="L169" i="1"/>
  <c r="M169" i="1" s="1"/>
  <c r="L170" i="1"/>
  <c r="M170" i="1" s="1"/>
  <c r="L171" i="1"/>
  <c r="M171" i="1" s="1"/>
  <c r="L172" i="1"/>
  <c r="M172" i="1" s="1"/>
  <c r="L173" i="1"/>
  <c r="M173" i="1" s="1"/>
  <c r="L174" i="1"/>
  <c r="M174" i="1" s="1"/>
  <c r="L175" i="1"/>
  <c r="M175" i="1" s="1"/>
  <c r="L176" i="1"/>
  <c r="M176" i="1" s="1"/>
  <c r="L177" i="1"/>
  <c r="M177" i="1" s="1"/>
  <c r="L178" i="1"/>
  <c r="M178" i="1" s="1"/>
  <c r="L179" i="1"/>
  <c r="M179" i="1" s="1"/>
  <c r="L180" i="1"/>
  <c r="M180" i="1" s="1"/>
  <c r="L181" i="1"/>
  <c r="M181" i="1" s="1"/>
  <c r="L182" i="1"/>
  <c r="M182" i="1" s="1"/>
  <c r="L183" i="1"/>
  <c r="M183" i="1" s="1"/>
  <c r="L184" i="1"/>
  <c r="M184" i="1" s="1"/>
  <c r="L185" i="1"/>
  <c r="M185" i="1" s="1"/>
  <c r="L186" i="1"/>
  <c r="M186" i="1" s="1"/>
  <c r="L187" i="1"/>
  <c r="M187" i="1" s="1"/>
  <c r="L188" i="1"/>
  <c r="M188" i="1" s="1"/>
  <c r="L189" i="1"/>
  <c r="M189" i="1" s="1"/>
  <c r="L190" i="1"/>
  <c r="M190" i="1" s="1"/>
  <c r="L191" i="1"/>
  <c r="M191" i="1" s="1"/>
  <c r="L192" i="1"/>
  <c r="M192" i="1" s="1"/>
  <c r="L193" i="1"/>
  <c r="M193" i="1" s="1"/>
  <c r="L194" i="1"/>
  <c r="M194" i="1" s="1"/>
  <c r="L195" i="1"/>
  <c r="M195" i="1" s="1"/>
  <c r="L196" i="1"/>
  <c r="M196" i="1" s="1"/>
  <c r="L197" i="1"/>
  <c r="M197" i="1" s="1"/>
  <c r="L198" i="1"/>
  <c r="M198" i="1" s="1"/>
  <c r="L199" i="1"/>
  <c r="M199" i="1" s="1"/>
  <c r="L200" i="1"/>
  <c r="M200" i="1" s="1"/>
  <c r="L201" i="1"/>
  <c r="M201" i="1" s="1"/>
  <c r="L202" i="1"/>
  <c r="M202" i="1" s="1"/>
  <c r="L203" i="1"/>
  <c r="M203" i="1" s="1"/>
  <c r="L204" i="1"/>
  <c r="M204" i="1" s="1"/>
  <c r="L205" i="1"/>
  <c r="M205" i="1" s="1"/>
  <c r="L206" i="1"/>
  <c r="M206" i="1" s="1"/>
  <c r="L207" i="1"/>
  <c r="M207" i="1" s="1"/>
  <c r="L208" i="1"/>
  <c r="M208" i="1" s="1"/>
  <c r="L209" i="1"/>
  <c r="M209" i="1" s="1"/>
  <c r="L210" i="1"/>
  <c r="M210" i="1" s="1"/>
  <c r="L211" i="1"/>
  <c r="M211" i="1" s="1"/>
  <c r="L212" i="1"/>
  <c r="M212" i="1" s="1"/>
  <c r="L213" i="1"/>
  <c r="M213" i="1" s="1"/>
  <c r="L214" i="1"/>
  <c r="M214" i="1" s="1"/>
  <c r="L215" i="1"/>
  <c r="M215" i="1" s="1"/>
  <c r="L216" i="1"/>
  <c r="M216" i="1" s="1"/>
  <c r="L217" i="1"/>
  <c r="M217" i="1" s="1"/>
  <c r="L218" i="1"/>
  <c r="M218" i="1" s="1"/>
  <c r="L219" i="1"/>
  <c r="M219" i="1" s="1"/>
  <c r="L220" i="1"/>
  <c r="M220" i="1" s="1"/>
  <c r="L221" i="1"/>
  <c r="M221" i="1" s="1"/>
  <c r="L222" i="1"/>
  <c r="M222" i="1" s="1"/>
  <c r="L223" i="1"/>
  <c r="M223" i="1" s="1"/>
  <c r="L224" i="1"/>
  <c r="M224" i="1" s="1"/>
  <c r="L225" i="1"/>
  <c r="M225" i="1" s="1"/>
  <c r="L226" i="1"/>
  <c r="M226" i="1" s="1"/>
  <c r="L227" i="1"/>
  <c r="M227" i="1" s="1"/>
  <c r="L228" i="1"/>
  <c r="M228" i="1" s="1"/>
  <c r="L229" i="1"/>
  <c r="M229" i="1" s="1"/>
  <c r="L230" i="1"/>
  <c r="M230" i="1" s="1"/>
  <c r="L231" i="1"/>
  <c r="M231" i="1" s="1"/>
  <c r="L232" i="1"/>
  <c r="M232" i="1" s="1"/>
  <c r="L233" i="1"/>
  <c r="M233" i="1" s="1"/>
  <c r="L234" i="1"/>
  <c r="M234" i="1" s="1"/>
  <c r="L235" i="1"/>
  <c r="M235" i="1" s="1"/>
  <c r="L236" i="1"/>
  <c r="M236" i="1" s="1"/>
  <c r="L237" i="1"/>
  <c r="M237" i="1" s="1"/>
  <c r="L238" i="1"/>
  <c r="M238" i="1" s="1"/>
  <c r="L239" i="1"/>
  <c r="M239" i="1" s="1"/>
  <c r="L240" i="1"/>
  <c r="M240" i="1" s="1"/>
  <c r="L241" i="1"/>
  <c r="M241" i="1" s="1"/>
  <c r="L242" i="1"/>
  <c r="M242" i="1" s="1"/>
  <c r="L243" i="1"/>
  <c r="M243" i="1" s="1"/>
  <c r="L244" i="1"/>
  <c r="M244" i="1" s="1"/>
  <c r="L245" i="1"/>
  <c r="M245" i="1" s="1"/>
  <c r="L246" i="1"/>
  <c r="M246" i="1" s="1"/>
  <c r="L247" i="1"/>
  <c r="M247" i="1" s="1"/>
  <c r="L248" i="1"/>
  <c r="M248" i="1" s="1"/>
  <c r="L249" i="1"/>
  <c r="M249" i="1" s="1"/>
  <c r="L250" i="1"/>
  <c r="M250" i="1" s="1"/>
  <c r="L251" i="1"/>
  <c r="M251" i="1" s="1"/>
  <c r="L252" i="1"/>
  <c r="M252" i="1" s="1"/>
  <c r="L253" i="1"/>
  <c r="M253" i="1" s="1"/>
  <c r="L254" i="1"/>
  <c r="M254" i="1" s="1"/>
  <c r="L255" i="1"/>
  <c r="M255" i="1" s="1"/>
  <c r="L256" i="1"/>
  <c r="M256" i="1" s="1"/>
  <c r="L257" i="1"/>
  <c r="M257" i="1" s="1"/>
  <c r="L258" i="1"/>
  <c r="M258" i="1" s="1"/>
  <c r="L259" i="1"/>
  <c r="M259" i="1" s="1"/>
  <c r="L260" i="1"/>
  <c r="M260" i="1" s="1"/>
  <c r="L261" i="1"/>
  <c r="M261" i="1" s="1"/>
  <c r="L262" i="1"/>
  <c r="M262" i="1" s="1"/>
  <c r="L263" i="1"/>
  <c r="M263" i="1" s="1"/>
  <c r="L264" i="1"/>
  <c r="M264" i="1" s="1"/>
  <c r="L265" i="1"/>
  <c r="M265" i="1" s="1"/>
  <c r="L266" i="1"/>
  <c r="M266" i="1" s="1"/>
  <c r="L267" i="1"/>
  <c r="M267" i="1" s="1"/>
  <c r="L268" i="1"/>
  <c r="M268" i="1" s="1"/>
  <c r="L269" i="1"/>
  <c r="M269" i="1" s="1"/>
  <c r="L270" i="1"/>
  <c r="M270" i="1" s="1"/>
  <c r="L271" i="1"/>
  <c r="M271" i="1" s="1"/>
  <c r="L272" i="1"/>
  <c r="M272" i="1" s="1"/>
  <c r="L273" i="1"/>
  <c r="M273" i="1" s="1"/>
  <c r="L274" i="1"/>
  <c r="M274" i="1" s="1"/>
  <c r="L275" i="1"/>
  <c r="M275" i="1" s="1"/>
  <c r="L276" i="1"/>
  <c r="M276" i="1" s="1"/>
  <c r="L277" i="1"/>
  <c r="M277" i="1" s="1"/>
  <c r="L278" i="1"/>
  <c r="M278" i="1" s="1"/>
  <c r="L279" i="1"/>
  <c r="M279" i="1" s="1"/>
  <c r="L280" i="1"/>
  <c r="M280" i="1" s="1"/>
  <c r="L281" i="1"/>
  <c r="M281" i="1" s="1"/>
  <c r="L282" i="1"/>
  <c r="M282" i="1" s="1"/>
  <c r="L283" i="1"/>
  <c r="M283" i="1" s="1"/>
  <c r="L284" i="1"/>
  <c r="M284" i="1" s="1"/>
  <c r="L285" i="1"/>
  <c r="M285" i="1" s="1"/>
  <c r="L286" i="1"/>
  <c r="M286" i="1" s="1"/>
  <c r="L287" i="1"/>
  <c r="M287" i="1" s="1"/>
  <c r="L288" i="1"/>
  <c r="M288" i="1" s="1"/>
  <c r="L289" i="1"/>
  <c r="M289" i="1" s="1"/>
  <c r="L290" i="1"/>
  <c r="M290" i="1" s="1"/>
  <c r="L291" i="1"/>
  <c r="M291" i="1" s="1"/>
  <c r="L292" i="1"/>
  <c r="M292" i="1" s="1"/>
  <c r="L293" i="1"/>
  <c r="M293" i="1" s="1"/>
  <c r="L294" i="1"/>
  <c r="M294" i="1" s="1"/>
  <c r="L295" i="1"/>
  <c r="M295" i="1" s="1"/>
  <c r="L296" i="1"/>
  <c r="M296" i="1" s="1"/>
  <c r="L297" i="1"/>
  <c r="M297" i="1" s="1"/>
  <c r="L298" i="1"/>
  <c r="M298" i="1" s="1"/>
  <c r="L299" i="1"/>
  <c r="M299" i="1" s="1"/>
  <c r="L300" i="1"/>
  <c r="M300" i="1" s="1"/>
  <c r="L301" i="1"/>
  <c r="M301" i="1" s="1"/>
  <c r="L302" i="1"/>
  <c r="M302" i="1" s="1"/>
  <c r="L303" i="1"/>
  <c r="M303" i="1" s="1"/>
  <c r="L304" i="1"/>
  <c r="M304" i="1" s="1"/>
  <c r="L305" i="1"/>
  <c r="M305" i="1" s="1"/>
  <c r="L306" i="1"/>
  <c r="M306" i="1" s="1"/>
  <c r="L307" i="1"/>
  <c r="M307" i="1" s="1"/>
  <c r="L308" i="1"/>
  <c r="M308" i="1" s="1"/>
  <c r="L309" i="1"/>
  <c r="M309" i="1" s="1"/>
  <c r="L310" i="1"/>
  <c r="M310" i="1" s="1"/>
  <c r="L311" i="1"/>
  <c r="M311" i="1" s="1"/>
  <c r="L312" i="1"/>
  <c r="M312" i="1" s="1"/>
  <c r="L313" i="1"/>
  <c r="M313" i="1" s="1"/>
  <c r="L314" i="1"/>
  <c r="M314" i="1" s="1"/>
  <c r="L315" i="1"/>
  <c r="M315" i="1" s="1"/>
  <c r="L316" i="1"/>
  <c r="M316" i="1" s="1"/>
  <c r="L317" i="1"/>
  <c r="M317" i="1" s="1"/>
  <c r="L318" i="1"/>
  <c r="M318" i="1" s="1"/>
  <c r="L319" i="1"/>
  <c r="M319" i="1" s="1"/>
  <c r="L320" i="1"/>
  <c r="M320" i="1" s="1"/>
  <c r="L321" i="1"/>
  <c r="M321" i="1" s="1"/>
  <c r="L322" i="1"/>
  <c r="M322" i="1" s="1"/>
  <c r="L323" i="1"/>
  <c r="M323" i="1" s="1"/>
  <c r="L324" i="1"/>
  <c r="M324" i="1" s="1"/>
  <c r="L325" i="1"/>
  <c r="M325" i="1" s="1"/>
  <c r="L326" i="1"/>
  <c r="M326" i="1" s="1"/>
  <c r="L327" i="1"/>
  <c r="M327" i="1" s="1"/>
  <c r="L328" i="1"/>
  <c r="M328" i="1" s="1"/>
  <c r="L329" i="1"/>
  <c r="M329" i="1" s="1"/>
  <c r="L330" i="1"/>
  <c r="M330" i="1" s="1"/>
  <c r="L331" i="1"/>
  <c r="M331" i="1" s="1"/>
  <c r="L332" i="1"/>
  <c r="M332" i="1" s="1"/>
  <c r="L333" i="1"/>
  <c r="M333" i="1" s="1"/>
  <c r="L334" i="1"/>
  <c r="M334" i="1" s="1"/>
  <c r="L335" i="1"/>
  <c r="M335" i="1" s="1"/>
  <c r="L336" i="1"/>
  <c r="M336" i="1" s="1"/>
  <c r="L337" i="1"/>
  <c r="M337" i="1" s="1"/>
  <c r="L338" i="1"/>
  <c r="M338" i="1" s="1"/>
  <c r="L339" i="1"/>
  <c r="M339" i="1" s="1"/>
  <c r="L340" i="1"/>
  <c r="M340" i="1" s="1"/>
  <c r="L341" i="1"/>
  <c r="M341" i="1" s="1"/>
  <c r="L342" i="1"/>
  <c r="M342" i="1" s="1"/>
  <c r="L343" i="1"/>
  <c r="M343" i="1" s="1"/>
  <c r="L344" i="1"/>
  <c r="M344" i="1" s="1"/>
  <c r="L345" i="1"/>
  <c r="M345" i="1" s="1"/>
  <c r="L346" i="1"/>
  <c r="M346" i="1" s="1"/>
  <c r="L347" i="1"/>
  <c r="M347" i="1" s="1"/>
  <c r="L348" i="1"/>
  <c r="M348" i="1" s="1"/>
  <c r="L349" i="1"/>
  <c r="M349" i="1" s="1"/>
  <c r="L350" i="1"/>
  <c r="M350" i="1" s="1"/>
  <c r="L351" i="1"/>
  <c r="M351" i="1" s="1"/>
  <c r="L352" i="1"/>
  <c r="M352" i="1" s="1"/>
  <c r="L353" i="1"/>
  <c r="M353" i="1" s="1"/>
  <c r="L354" i="1"/>
  <c r="M354" i="1" s="1"/>
  <c r="L355" i="1"/>
  <c r="M355" i="1" s="1"/>
  <c r="L356" i="1"/>
  <c r="M356" i="1" s="1"/>
  <c r="L357" i="1"/>
  <c r="M357" i="1" s="1"/>
  <c r="L358" i="1"/>
  <c r="M358" i="1" s="1"/>
  <c r="L359" i="1"/>
  <c r="M359" i="1" s="1"/>
  <c r="L360" i="1"/>
  <c r="M360" i="1" s="1"/>
  <c r="L361" i="1"/>
  <c r="M361" i="1" s="1"/>
  <c r="L362" i="1"/>
  <c r="M362" i="1" s="1"/>
  <c r="L363" i="1"/>
  <c r="M363" i="1" s="1"/>
  <c r="L364" i="1"/>
  <c r="M364" i="1" s="1"/>
  <c r="L365" i="1"/>
  <c r="M365" i="1" s="1"/>
  <c r="L366" i="1"/>
  <c r="M366" i="1" s="1"/>
  <c r="L367" i="1"/>
  <c r="M367" i="1" s="1"/>
  <c r="L368" i="1"/>
  <c r="M368" i="1" s="1"/>
  <c r="L369" i="1"/>
  <c r="M369" i="1" s="1"/>
  <c r="L370" i="1"/>
  <c r="M370" i="1" s="1"/>
  <c r="L371" i="1"/>
  <c r="M371" i="1" s="1"/>
  <c r="L372" i="1"/>
  <c r="M372" i="1" s="1"/>
  <c r="L373" i="1"/>
  <c r="M373" i="1" s="1"/>
  <c r="L374" i="1"/>
  <c r="M374" i="1" s="1"/>
  <c r="L375" i="1"/>
  <c r="M375" i="1" s="1"/>
  <c r="L376" i="1"/>
  <c r="M376" i="1" s="1"/>
  <c r="L377" i="1"/>
  <c r="M377" i="1" s="1"/>
  <c r="L378" i="1"/>
  <c r="M378" i="1" s="1"/>
  <c r="L379" i="1"/>
  <c r="M379" i="1" s="1"/>
  <c r="L380" i="1"/>
  <c r="M380" i="1" s="1"/>
  <c r="L381" i="1"/>
  <c r="M381" i="1" s="1"/>
  <c r="L382" i="1"/>
  <c r="M382" i="1" s="1"/>
  <c r="L383" i="1"/>
  <c r="M383" i="1" s="1"/>
  <c r="L384" i="1"/>
  <c r="M384" i="1" s="1"/>
  <c r="L385" i="1"/>
  <c r="M385" i="1" s="1"/>
  <c r="L386" i="1"/>
  <c r="M386" i="1" s="1"/>
  <c r="L387" i="1"/>
  <c r="M387" i="1" s="1"/>
  <c r="L388" i="1"/>
  <c r="M388" i="1" s="1"/>
  <c r="L389" i="1"/>
  <c r="M389" i="1" s="1"/>
  <c r="L390" i="1"/>
  <c r="M390" i="1" s="1"/>
  <c r="L391" i="1"/>
  <c r="M391" i="1" s="1"/>
  <c r="L392" i="1"/>
  <c r="M392" i="1" s="1"/>
  <c r="L393" i="1"/>
  <c r="M393" i="1" s="1"/>
  <c r="L394" i="1"/>
  <c r="M394" i="1" s="1"/>
  <c r="L395" i="1"/>
  <c r="M395" i="1" s="1"/>
  <c r="L396" i="1"/>
  <c r="M396" i="1" s="1"/>
  <c r="L397" i="1"/>
  <c r="M397" i="1" s="1"/>
  <c r="L398" i="1"/>
  <c r="M398" i="1" s="1"/>
  <c r="L399" i="1"/>
  <c r="M399" i="1" s="1"/>
  <c r="L400" i="1"/>
  <c r="M400" i="1" s="1"/>
  <c r="L401" i="1"/>
  <c r="M401" i="1" s="1"/>
  <c r="L402" i="1"/>
  <c r="M402" i="1" s="1"/>
  <c r="L403" i="1"/>
  <c r="M403" i="1" s="1"/>
  <c r="L404" i="1"/>
  <c r="M404" i="1" s="1"/>
  <c r="L405" i="1"/>
  <c r="M405" i="1" s="1"/>
  <c r="L406" i="1"/>
  <c r="M406" i="1" s="1"/>
  <c r="L407" i="1"/>
  <c r="M407" i="1" s="1"/>
  <c r="L408" i="1"/>
  <c r="M408" i="1" s="1"/>
  <c r="L409" i="1"/>
  <c r="M409" i="1" s="1"/>
  <c r="L410" i="1"/>
  <c r="M410" i="1" s="1"/>
  <c r="L411" i="1"/>
  <c r="M411" i="1" s="1"/>
  <c r="L412" i="1"/>
  <c r="M412" i="1" s="1"/>
  <c r="L413" i="1"/>
  <c r="M413" i="1" s="1"/>
  <c r="L414" i="1"/>
  <c r="M414" i="1" s="1"/>
  <c r="L415" i="1"/>
  <c r="M415" i="1" s="1"/>
  <c r="L416" i="1"/>
  <c r="M416" i="1" s="1"/>
  <c r="L417" i="1"/>
  <c r="M417" i="1" s="1"/>
  <c r="L418" i="1"/>
  <c r="M418" i="1" s="1"/>
  <c r="L419" i="1"/>
  <c r="M419" i="1" s="1"/>
  <c r="L420" i="1"/>
  <c r="M420" i="1" s="1"/>
  <c r="L421" i="1"/>
  <c r="M421" i="1" s="1"/>
  <c r="L422" i="1"/>
  <c r="M422" i="1" s="1"/>
  <c r="L423" i="1"/>
  <c r="M423" i="1" s="1"/>
  <c r="L424" i="1"/>
  <c r="M424" i="1" s="1"/>
  <c r="L425" i="1"/>
  <c r="M425" i="1" s="1"/>
  <c r="L426" i="1"/>
  <c r="M426" i="1" s="1"/>
  <c r="L427" i="1"/>
  <c r="M427" i="1" s="1"/>
  <c r="L428" i="1"/>
  <c r="M428" i="1" s="1"/>
  <c r="L429" i="1"/>
  <c r="M429" i="1" s="1"/>
  <c r="L430" i="1"/>
  <c r="M430" i="1" s="1"/>
  <c r="L431" i="1"/>
  <c r="M431" i="1" s="1"/>
  <c r="L432" i="1"/>
  <c r="M432" i="1" s="1"/>
  <c r="L433" i="1"/>
  <c r="M433" i="1" s="1"/>
  <c r="L434" i="1"/>
  <c r="M434" i="1" s="1"/>
  <c r="L435" i="1"/>
  <c r="M435" i="1" s="1"/>
  <c r="L436" i="1"/>
  <c r="M436" i="1" s="1"/>
  <c r="L437" i="1"/>
  <c r="M437" i="1" s="1"/>
  <c r="L438" i="1"/>
  <c r="M438" i="1" s="1"/>
  <c r="L439" i="1"/>
  <c r="M439" i="1" s="1"/>
  <c r="L440" i="1"/>
  <c r="M440" i="1" s="1"/>
  <c r="L441" i="1"/>
  <c r="M441" i="1" s="1"/>
  <c r="L442" i="1"/>
  <c r="M442" i="1" s="1"/>
  <c r="L443" i="1"/>
  <c r="M443" i="1" s="1"/>
  <c r="L444" i="1"/>
  <c r="M444" i="1" s="1"/>
  <c r="L445" i="1"/>
  <c r="M445" i="1" s="1"/>
  <c r="L446" i="1"/>
  <c r="M446" i="1" s="1"/>
  <c r="L447" i="1"/>
  <c r="M447" i="1" s="1"/>
  <c r="L448" i="1"/>
  <c r="M448" i="1" s="1"/>
  <c r="L449" i="1"/>
  <c r="M449" i="1" s="1"/>
  <c r="L450" i="1"/>
  <c r="M450" i="1" s="1"/>
  <c r="L451" i="1"/>
  <c r="M451" i="1" s="1"/>
  <c r="L452" i="1"/>
  <c r="M452" i="1" s="1"/>
  <c r="L453" i="1"/>
  <c r="M453" i="1" s="1"/>
  <c r="L454" i="1"/>
  <c r="M454" i="1" s="1"/>
  <c r="L455" i="1"/>
  <c r="M455" i="1" s="1"/>
  <c r="L456" i="1"/>
  <c r="M456" i="1" s="1"/>
  <c r="L457" i="1"/>
  <c r="M457" i="1" s="1"/>
  <c r="L458" i="1"/>
  <c r="M458" i="1" s="1"/>
  <c r="L459" i="1"/>
  <c r="M459" i="1" s="1"/>
  <c r="L460" i="1"/>
  <c r="M460" i="1" s="1"/>
  <c r="L461" i="1"/>
  <c r="M461" i="1" s="1"/>
  <c r="L462" i="1"/>
  <c r="M462" i="1" s="1"/>
  <c r="L463" i="1"/>
  <c r="M463" i="1" s="1"/>
  <c r="L464" i="1"/>
  <c r="M464" i="1" s="1"/>
  <c r="L465" i="1"/>
  <c r="M465" i="1" s="1"/>
  <c r="L466" i="1"/>
  <c r="M466" i="1" s="1"/>
  <c r="L467" i="1"/>
  <c r="M467" i="1" s="1"/>
  <c r="L468" i="1"/>
  <c r="M468" i="1" s="1"/>
  <c r="L469" i="1"/>
  <c r="M469" i="1" s="1"/>
  <c r="L470" i="1"/>
  <c r="M470" i="1" s="1"/>
  <c r="L471" i="1"/>
  <c r="M471" i="1" s="1"/>
  <c r="L472" i="1"/>
  <c r="M472" i="1" s="1"/>
  <c r="L473" i="1"/>
  <c r="M473" i="1" s="1"/>
  <c r="L474" i="1"/>
  <c r="M474" i="1" s="1"/>
  <c r="L475" i="1"/>
  <c r="M475" i="1" s="1"/>
  <c r="L476" i="1"/>
  <c r="M476" i="1" s="1"/>
  <c r="L477" i="1"/>
  <c r="M477" i="1" s="1"/>
  <c r="L478" i="1"/>
  <c r="M478" i="1" s="1"/>
  <c r="L479" i="1"/>
  <c r="M479" i="1" s="1"/>
  <c r="L480" i="1"/>
  <c r="M480" i="1" s="1"/>
  <c r="L481" i="1"/>
  <c r="M481" i="1" s="1"/>
  <c r="L482" i="1"/>
  <c r="M482" i="1" s="1"/>
  <c r="L483" i="1"/>
  <c r="M483" i="1" s="1"/>
  <c r="L484" i="1"/>
  <c r="M484" i="1" s="1"/>
  <c r="L485" i="1"/>
  <c r="M485" i="1" s="1"/>
  <c r="L486" i="1"/>
  <c r="M486" i="1" s="1"/>
  <c r="L487" i="1"/>
  <c r="M487" i="1" s="1"/>
  <c r="L488" i="1"/>
  <c r="M488" i="1" s="1"/>
  <c r="L489" i="1"/>
  <c r="M489" i="1" s="1"/>
  <c r="L490" i="1"/>
  <c r="M490" i="1" s="1"/>
  <c r="L491" i="1"/>
  <c r="M491" i="1" s="1"/>
  <c r="L492" i="1"/>
  <c r="M492" i="1" s="1"/>
  <c r="L493" i="1"/>
  <c r="M493" i="1" s="1"/>
  <c r="L494" i="1"/>
  <c r="M494" i="1" s="1"/>
  <c r="L495" i="1"/>
  <c r="M495" i="1" s="1"/>
  <c r="L496" i="1"/>
  <c r="M496" i="1" s="1"/>
  <c r="L497" i="1"/>
  <c r="M497" i="1" s="1"/>
  <c r="L498" i="1"/>
  <c r="M498" i="1" s="1"/>
  <c r="L499" i="1"/>
  <c r="M499" i="1" s="1"/>
  <c r="L500" i="1"/>
  <c r="M500" i="1" s="1"/>
  <c r="L501" i="1"/>
  <c r="M501" i="1" s="1"/>
  <c r="L502" i="1"/>
  <c r="M502" i="1" s="1"/>
  <c r="L503" i="1"/>
  <c r="M503" i="1" s="1"/>
  <c r="L504" i="1"/>
  <c r="M504" i="1" s="1"/>
  <c r="L505" i="1"/>
  <c r="M505" i="1" s="1"/>
  <c r="L506" i="1"/>
  <c r="M506" i="1" s="1"/>
  <c r="L507" i="1"/>
  <c r="M507" i="1" s="1"/>
  <c r="L508" i="1"/>
  <c r="M508" i="1" s="1"/>
  <c r="L509" i="1"/>
  <c r="M509" i="1" s="1"/>
  <c r="L510" i="1"/>
  <c r="M510" i="1" s="1"/>
  <c r="L511" i="1"/>
  <c r="M511" i="1" s="1"/>
  <c r="L512" i="1"/>
  <c r="M512" i="1" s="1"/>
  <c r="L513" i="1"/>
  <c r="M513" i="1" s="1"/>
  <c r="L514" i="1"/>
  <c r="M514" i="1" s="1"/>
  <c r="L515" i="1"/>
  <c r="M515" i="1" s="1"/>
  <c r="L516" i="1"/>
  <c r="M516" i="1" s="1"/>
  <c r="L517" i="1"/>
  <c r="M517" i="1" s="1"/>
  <c r="L518" i="1"/>
  <c r="M518" i="1" s="1"/>
  <c r="L519" i="1"/>
  <c r="M519" i="1" s="1"/>
  <c r="L520" i="1"/>
  <c r="M520" i="1" s="1"/>
  <c r="L521" i="1"/>
  <c r="M521" i="1" s="1"/>
  <c r="L522" i="1"/>
  <c r="M522" i="1" s="1"/>
  <c r="L523" i="1"/>
  <c r="M523" i="1" s="1"/>
  <c r="L524" i="1"/>
  <c r="M524" i="1" s="1"/>
  <c r="L525" i="1"/>
  <c r="M525" i="1" s="1"/>
  <c r="L526" i="1"/>
  <c r="M526" i="1" s="1"/>
  <c r="L527" i="1"/>
  <c r="M527" i="1" s="1"/>
  <c r="L528" i="1"/>
  <c r="M528" i="1" s="1"/>
  <c r="L529" i="1"/>
  <c r="M529" i="1" s="1"/>
  <c r="L530" i="1"/>
  <c r="M530" i="1" s="1"/>
  <c r="L531" i="1"/>
  <c r="M531" i="1" s="1"/>
  <c r="L532" i="1"/>
  <c r="M532" i="1" s="1"/>
  <c r="L533" i="1"/>
  <c r="M533" i="1" s="1"/>
  <c r="L534" i="1"/>
  <c r="M534" i="1" s="1"/>
  <c r="L535" i="1"/>
  <c r="M535" i="1" s="1"/>
  <c r="L536" i="1"/>
  <c r="M536" i="1" s="1"/>
  <c r="L537" i="1"/>
  <c r="M537" i="1" s="1"/>
  <c r="L538" i="1"/>
  <c r="M538" i="1" s="1"/>
  <c r="L539" i="1"/>
  <c r="M539" i="1" s="1"/>
  <c r="L540" i="1"/>
  <c r="M540" i="1" s="1"/>
  <c r="L541" i="1"/>
  <c r="M541" i="1" s="1"/>
  <c r="L542" i="1"/>
  <c r="M542" i="1" s="1"/>
  <c r="L543" i="1"/>
  <c r="M543" i="1" s="1"/>
  <c r="L544" i="1"/>
  <c r="M544" i="1" s="1"/>
  <c r="L545" i="1"/>
  <c r="M545" i="1" s="1"/>
  <c r="L546" i="1"/>
  <c r="M546" i="1" s="1"/>
  <c r="L547" i="1"/>
  <c r="M547" i="1" s="1"/>
  <c r="L548" i="1"/>
  <c r="M548" i="1" s="1"/>
  <c r="L549" i="1"/>
  <c r="M549" i="1" s="1"/>
  <c r="L550" i="1"/>
  <c r="M550" i="1" s="1"/>
  <c r="L551" i="1"/>
  <c r="M551" i="1" s="1"/>
  <c r="L552" i="1"/>
  <c r="M552" i="1" s="1"/>
  <c r="L553" i="1"/>
  <c r="M553" i="1" s="1"/>
  <c r="L554" i="1"/>
  <c r="M554" i="1" s="1"/>
  <c r="L555" i="1"/>
  <c r="M555" i="1" s="1"/>
  <c r="L556" i="1"/>
  <c r="M556" i="1" s="1"/>
  <c r="L557" i="1"/>
  <c r="M557" i="1" s="1"/>
  <c r="L558" i="1"/>
  <c r="M558" i="1" s="1"/>
  <c r="L559" i="1"/>
  <c r="M559" i="1" s="1"/>
  <c r="L560" i="1"/>
  <c r="M560" i="1" s="1"/>
  <c r="L561" i="1"/>
  <c r="M561" i="1" s="1"/>
  <c r="L562" i="1"/>
  <c r="M562" i="1" s="1"/>
  <c r="L563" i="1"/>
  <c r="M563" i="1" s="1"/>
  <c r="L564" i="1"/>
  <c r="M564" i="1" s="1"/>
  <c r="L565" i="1"/>
  <c r="M565" i="1" s="1"/>
  <c r="L566" i="1"/>
  <c r="M566" i="1" s="1"/>
  <c r="L567" i="1"/>
  <c r="M567" i="1" s="1"/>
  <c r="L568" i="1"/>
  <c r="M568" i="1" s="1"/>
  <c r="L569" i="1"/>
  <c r="M569" i="1" s="1"/>
  <c r="L570" i="1"/>
  <c r="M570" i="1" s="1"/>
  <c r="L571" i="1"/>
  <c r="M571" i="1" s="1"/>
  <c r="L572" i="1"/>
  <c r="M572" i="1" s="1"/>
  <c r="L573" i="1"/>
  <c r="M573" i="1" s="1"/>
  <c r="L574" i="1"/>
  <c r="M574" i="1" s="1"/>
  <c r="L575" i="1"/>
  <c r="M575" i="1" s="1"/>
  <c r="L576" i="1"/>
  <c r="M576" i="1" s="1"/>
  <c r="L577" i="1"/>
  <c r="M577" i="1" s="1"/>
  <c r="L578" i="1"/>
  <c r="M578" i="1" s="1"/>
  <c r="L579" i="1"/>
  <c r="M579" i="1" s="1"/>
  <c r="L580" i="1"/>
  <c r="M580" i="1" s="1"/>
  <c r="L581" i="1"/>
  <c r="M581" i="1" s="1"/>
  <c r="L582" i="1"/>
  <c r="M582" i="1" s="1"/>
  <c r="L583" i="1"/>
  <c r="M583" i="1" s="1"/>
  <c r="L584" i="1"/>
  <c r="M584" i="1" s="1"/>
  <c r="L585" i="1"/>
  <c r="M585" i="1" s="1"/>
  <c r="L586" i="1"/>
  <c r="M586" i="1" s="1"/>
  <c r="L587" i="1"/>
  <c r="M587" i="1" s="1"/>
  <c r="L588" i="1"/>
  <c r="M588" i="1" s="1"/>
  <c r="L589" i="1"/>
  <c r="M589" i="1" s="1"/>
  <c r="L590" i="1"/>
  <c r="M590" i="1" s="1"/>
  <c r="L591" i="1"/>
  <c r="M591" i="1" s="1"/>
  <c r="L592" i="1"/>
  <c r="M592" i="1" s="1"/>
  <c r="L593" i="1"/>
  <c r="M593" i="1" s="1"/>
  <c r="L594" i="1"/>
  <c r="M594" i="1" s="1"/>
  <c r="L595" i="1"/>
  <c r="M595" i="1" s="1"/>
  <c r="L596" i="1"/>
  <c r="M596" i="1" s="1"/>
  <c r="L597" i="1"/>
  <c r="M597" i="1" s="1"/>
  <c r="L598" i="1"/>
  <c r="M598" i="1" s="1"/>
  <c r="L599" i="1"/>
  <c r="M599" i="1" s="1"/>
  <c r="L600" i="1"/>
  <c r="M600" i="1" s="1"/>
  <c r="L601" i="1"/>
  <c r="M601" i="1" s="1"/>
  <c r="L602" i="1"/>
  <c r="M602" i="1" s="1"/>
  <c r="L603" i="1"/>
  <c r="M603" i="1" s="1"/>
  <c r="L604" i="1"/>
  <c r="M604" i="1" s="1"/>
  <c r="L605" i="1"/>
  <c r="M605" i="1" s="1"/>
  <c r="L606" i="1"/>
  <c r="M606" i="1" s="1"/>
  <c r="L607" i="1"/>
  <c r="M607" i="1" s="1"/>
  <c r="L608" i="1"/>
  <c r="M608" i="1" s="1"/>
  <c r="L609" i="1"/>
  <c r="M609" i="1" s="1"/>
  <c r="L610" i="1"/>
  <c r="M610" i="1" s="1"/>
  <c r="L611" i="1"/>
  <c r="M611" i="1" s="1"/>
  <c r="L612" i="1"/>
  <c r="M612" i="1" s="1"/>
  <c r="L613" i="1"/>
  <c r="M613" i="1" s="1"/>
  <c r="L614" i="1"/>
  <c r="M614" i="1" s="1"/>
  <c r="L615" i="1"/>
  <c r="M615" i="1" s="1"/>
  <c r="L616" i="1"/>
  <c r="M616" i="1" s="1"/>
  <c r="L617" i="1"/>
  <c r="M617" i="1" s="1"/>
  <c r="L618" i="1"/>
  <c r="M618" i="1" s="1"/>
  <c r="L619" i="1"/>
  <c r="M619" i="1" s="1"/>
  <c r="L620" i="1"/>
  <c r="M620" i="1" s="1"/>
  <c r="L621" i="1"/>
  <c r="M621" i="1" s="1"/>
  <c r="L622" i="1"/>
  <c r="M622" i="1" s="1"/>
  <c r="L623" i="1"/>
  <c r="M623" i="1" s="1"/>
  <c r="L624" i="1"/>
  <c r="M624" i="1" s="1"/>
  <c r="L625" i="1"/>
  <c r="M625" i="1" s="1"/>
  <c r="L626" i="1"/>
  <c r="M626" i="1" s="1"/>
  <c r="L627" i="1"/>
  <c r="M627" i="1" s="1"/>
  <c r="L628" i="1"/>
  <c r="M628" i="1" s="1"/>
  <c r="L629" i="1"/>
  <c r="M629" i="1" s="1"/>
  <c r="L630" i="1"/>
  <c r="M630" i="1" s="1"/>
  <c r="L631" i="1"/>
  <c r="M631" i="1" s="1"/>
  <c r="L632" i="1"/>
  <c r="M632" i="1" s="1"/>
  <c r="L633" i="1"/>
  <c r="M633" i="1" s="1"/>
  <c r="L634" i="1"/>
  <c r="M634" i="1" s="1"/>
  <c r="L635" i="1"/>
  <c r="M635" i="1" s="1"/>
  <c r="L636" i="1"/>
  <c r="M636" i="1" s="1"/>
  <c r="L637" i="1"/>
  <c r="M637" i="1" s="1"/>
  <c r="L638" i="1"/>
  <c r="M638" i="1" s="1"/>
  <c r="L639" i="1"/>
  <c r="M639" i="1" s="1"/>
  <c r="L640" i="1"/>
  <c r="M640" i="1" s="1"/>
  <c r="L641" i="1"/>
  <c r="M641" i="1" s="1"/>
  <c r="L642" i="1"/>
  <c r="M642" i="1" s="1"/>
  <c r="L643" i="1"/>
  <c r="M643" i="1" s="1"/>
  <c r="L644" i="1"/>
  <c r="M644" i="1" s="1"/>
  <c r="L645" i="1"/>
  <c r="M645" i="1" s="1"/>
  <c r="L646" i="1"/>
  <c r="M646" i="1" s="1"/>
  <c r="L647" i="1"/>
  <c r="M647" i="1" s="1"/>
  <c r="L648" i="1"/>
  <c r="M648" i="1" s="1"/>
  <c r="L649" i="1"/>
  <c r="M649" i="1" s="1"/>
  <c r="L650" i="1"/>
  <c r="M650" i="1" s="1"/>
  <c r="L651" i="1"/>
  <c r="M651" i="1" s="1"/>
  <c r="L652" i="1"/>
  <c r="M652" i="1" s="1"/>
  <c r="L653" i="1"/>
  <c r="M653" i="1" s="1"/>
  <c r="L654" i="1"/>
  <c r="M654" i="1" s="1"/>
  <c r="L655" i="1"/>
  <c r="M655" i="1" s="1"/>
  <c r="L656" i="1"/>
  <c r="M656" i="1" s="1"/>
  <c r="L657" i="1"/>
  <c r="M657" i="1" s="1"/>
  <c r="L658" i="1"/>
  <c r="M658" i="1" s="1"/>
  <c r="L659" i="1"/>
  <c r="M659" i="1" s="1"/>
  <c r="L660" i="1"/>
  <c r="M660" i="1" s="1"/>
  <c r="L661" i="1"/>
  <c r="M661" i="1" s="1"/>
  <c r="L662" i="1"/>
  <c r="M662" i="1" s="1"/>
  <c r="L663" i="1"/>
  <c r="M663" i="1" s="1"/>
  <c r="L664" i="1"/>
  <c r="M664" i="1" s="1"/>
  <c r="L665" i="1"/>
  <c r="M665" i="1" s="1"/>
  <c r="L666" i="1"/>
  <c r="M666" i="1" s="1"/>
  <c r="L667" i="1"/>
  <c r="M667" i="1" s="1"/>
  <c r="L668" i="1"/>
  <c r="M668" i="1" s="1"/>
  <c r="L669" i="1"/>
  <c r="M669" i="1" s="1"/>
  <c r="L670" i="1"/>
  <c r="M670" i="1" s="1"/>
  <c r="L671" i="1"/>
  <c r="M671" i="1" s="1"/>
  <c r="L672" i="1"/>
  <c r="M672" i="1" s="1"/>
  <c r="L673" i="1"/>
  <c r="M673" i="1" s="1"/>
  <c r="L674" i="1"/>
  <c r="M674" i="1" s="1"/>
  <c r="L675" i="1"/>
  <c r="M675" i="1" s="1"/>
  <c r="L676" i="1"/>
  <c r="M676" i="1" s="1"/>
  <c r="L677" i="1"/>
  <c r="M677" i="1" s="1"/>
  <c r="L678" i="1"/>
  <c r="M678" i="1" s="1"/>
  <c r="L679" i="1"/>
  <c r="M679" i="1" s="1"/>
  <c r="L680" i="1"/>
  <c r="M680" i="1" s="1"/>
  <c r="L681" i="1"/>
  <c r="M681" i="1" s="1"/>
  <c r="L682" i="1"/>
  <c r="M682" i="1" s="1"/>
  <c r="L683" i="1"/>
  <c r="M683" i="1" s="1"/>
  <c r="L684" i="1"/>
  <c r="M684" i="1" s="1"/>
  <c r="L685" i="1"/>
  <c r="M685" i="1" s="1"/>
  <c r="L686" i="1"/>
  <c r="M686" i="1" s="1"/>
  <c r="L687" i="1"/>
  <c r="M687" i="1" s="1"/>
  <c r="L688" i="1"/>
  <c r="M688" i="1" s="1"/>
  <c r="L689" i="1"/>
  <c r="M689" i="1" s="1"/>
  <c r="L690" i="1"/>
  <c r="M690" i="1" s="1"/>
  <c r="L691" i="1"/>
  <c r="M691" i="1" s="1"/>
  <c r="L692" i="1"/>
  <c r="M692" i="1" s="1"/>
  <c r="L693" i="1"/>
  <c r="M693" i="1" s="1"/>
  <c r="L694" i="1"/>
  <c r="M694" i="1" s="1"/>
  <c r="L695" i="1"/>
  <c r="M695" i="1" s="1"/>
  <c r="L696" i="1"/>
  <c r="M696" i="1" s="1"/>
  <c r="L697" i="1"/>
  <c r="M697" i="1" s="1"/>
  <c r="L698" i="1"/>
  <c r="M698" i="1" s="1"/>
  <c r="L699" i="1"/>
  <c r="M699" i="1" s="1"/>
  <c r="L700" i="1"/>
  <c r="M700" i="1" s="1"/>
  <c r="L701" i="1"/>
  <c r="M701" i="1" s="1"/>
  <c r="L702" i="1"/>
  <c r="M702" i="1" s="1"/>
  <c r="L703" i="1"/>
  <c r="M703" i="1" s="1"/>
  <c r="L704" i="1"/>
  <c r="M704" i="1" s="1"/>
  <c r="L705" i="1"/>
  <c r="M705" i="1" s="1"/>
  <c r="L706" i="1"/>
  <c r="M706" i="1" s="1"/>
  <c r="L707" i="1"/>
  <c r="M707" i="1" s="1"/>
  <c r="L708" i="1"/>
  <c r="M708" i="1" s="1"/>
  <c r="L709" i="1"/>
  <c r="M709" i="1" s="1"/>
  <c r="L710" i="1"/>
  <c r="M710" i="1" s="1"/>
  <c r="L711" i="1"/>
  <c r="M711" i="1" s="1"/>
  <c r="L712" i="1"/>
  <c r="M712" i="1" s="1"/>
  <c r="L713" i="1"/>
  <c r="M713" i="1" s="1"/>
  <c r="L714" i="1"/>
  <c r="M714" i="1" s="1"/>
  <c r="L715" i="1"/>
  <c r="M715" i="1" s="1"/>
  <c r="L716" i="1"/>
  <c r="M716" i="1" s="1"/>
  <c r="L717" i="1"/>
  <c r="M717" i="1" s="1"/>
  <c r="L718" i="1"/>
  <c r="M718" i="1" s="1"/>
  <c r="L719" i="1"/>
  <c r="M719" i="1" s="1"/>
  <c r="L720" i="1"/>
  <c r="M720" i="1" s="1"/>
  <c r="L721" i="1"/>
  <c r="M721" i="1" s="1"/>
  <c r="L722" i="1"/>
  <c r="M722" i="1" s="1"/>
  <c r="L723" i="1"/>
  <c r="M723" i="1" s="1"/>
  <c r="L724" i="1"/>
  <c r="M724" i="1" s="1"/>
  <c r="L725" i="1"/>
  <c r="M725" i="1" s="1"/>
  <c r="L726" i="1"/>
  <c r="M726" i="1" s="1"/>
  <c r="L727" i="1"/>
  <c r="M727" i="1" s="1"/>
  <c r="L728" i="1"/>
  <c r="M728" i="1" s="1"/>
  <c r="L729" i="1"/>
  <c r="M729" i="1" s="1"/>
  <c r="L730" i="1"/>
  <c r="M730" i="1" s="1"/>
  <c r="L731" i="1"/>
  <c r="M731" i="1" s="1"/>
  <c r="L732" i="1"/>
  <c r="M732" i="1" s="1"/>
  <c r="L733" i="1"/>
  <c r="M733" i="1" s="1"/>
  <c r="L734" i="1"/>
  <c r="M734" i="1" s="1"/>
  <c r="L735" i="1"/>
  <c r="M735" i="1" s="1"/>
  <c r="L736" i="1"/>
  <c r="M736" i="1" s="1"/>
  <c r="L737" i="1"/>
  <c r="M737" i="1" s="1"/>
  <c r="L738" i="1"/>
  <c r="M738" i="1" s="1"/>
  <c r="L739" i="1"/>
  <c r="M739" i="1" s="1"/>
  <c r="L740" i="1"/>
  <c r="M740" i="1" s="1"/>
  <c r="L741" i="1"/>
  <c r="M741" i="1" s="1"/>
  <c r="L742" i="1"/>
  <c r="M742" i="1" s="1"/>
  <c r="L743" i="1"/>
  <c r="M743" i="1" s="1"/>
  <c r="L744" i="1"/>
  <c r="M744" i="1" s="1"/>
  <c r="L745" i="1"/>
  <c r="M745" i="1" s="1"/>
  <c r="L746" i="1"/>
  <c r="M746" i="1" s="1"/>
  <c r="L747" i="1"/>
  <c r="M747" i="1" s="1"/>
  <c r="L748" i="1"/>
  <c r="M748" i="1" s="1"/>
  <c r="L749" i="1"/>
  <c r="M749" i="1" s="1"/>
  <c r="L750" i="1"/>
  <c r="M750" i="1" s="1"/>
  <c r="L751" i="1"/>
  <c r="M751" i="1" s="1"/>
  <c r="L752" i="1"/>
  <c r="M752" i="1" s="1"/>
  <c r="L753" i="1"/>
  <c r="M753" i="1" s="1"/>
  <c r="L754" i="1"/>
  <c r="M754" i="1" s="1"/>
  <c r="L755" i="1"/>
  <c r="M755" i="1" s="1"/>
  <c r="L756" i="1"/>
  <c r="M756" i="1" s="1"/>
  <c r="L757" i="1"/>
  <c r="M757" i="1" s="1"/>
  <c r="L758" i="1"/>
  <c r="M758" i="1" s="1"/>
  <c r="L759" i="1"/>
  <c r="M759" i="1" s="1"/>
  <c r="L760" i="1"/>
  <c r="M760" i="1" s="1"/>
  <c r="L761" i="1"/>
  <c r="M761" i="1" s="1"/>
  <c r="L762" i="1"/>
  <c r="M762" i="1" s="1"/>
  <c r="L763" i="1"/>
  <c r="M763" i="1" s="1"/>
  <c r="L764" i="1"/>
  <c r="M764" i="1" s="1"/>
  <c r="L765" i="1"/>
  <c r="M765" i="1" s="1"/>
  <c r="L766" i="1"/>
  <c r="M766" i="1" s="1"/>
  <c r="L767" i="1"/>
  <c r="M767" i="1" s="1"/>
  <c r="L768" i="1"/>
  <c r="M768" i="1" s="1"/>
  <c r="L769" i="1"/>
  <c r="M769" i="1" s="1"/>
  <c r="L770" i="1"/>
  <c r="M770" i="1" s="1"/>
  <c r="L771" i="1"/>
  <c r="M771" i="1" s="1"/>
  <c r="L772" i="1"/>
  <c r="M772" i="1" s="1"/>
  <c r="L773" i="1"/>
  <c r="M773" i="1" s="1"/>
  <c r="L774" i="1"/>
  <c r="M774" i="1" s="1"/>
  <c r="L775" i="1"/>
  <c r="M775" i="1" s="1"/>
  <c r="L776" i="1"/>
  <c r="M776" i="1" s="1"/>
  <c r="L777" i="1"/>
  <c r="M777" i="1" s="1"/>
  <c r="L778" i="1"/>
  <c r="M778" i="1" s="1"/>
  <c r="L779" i="1"/>
  <c r="M779" i="1" s="1"/>
  <c r="L780" i="1"/>
  <c r="M780" i="1" s="1"/>
  <c r="L781" i="1"/>
  <c r="M781" i="1" s="1"/>
  <c r="L782" i="1"/>
  <c r="M782" i="1" s="1"/>
  <c r="L783" i="1"/>
  <c r="M783" i="1" s="1"/>
  <c r="L784" i="1"/>
  <c r="M784" i="1" s="1"/>
  <c r="L785" i="1"/>
  <c r="M785" i="1" s="1"/>
  <c r="L786" i="1"/>
  <c r="M786" i="1" s="1"/>
  <c r="L787" i="1"/>
  <c r="M787" i="1" s="1"/>
  <c r="L788" i="1"/>
  <c r="M788" i="1" s="1"/>
  <c r="L789" i="1"/>
  <c r="M789" i="1" s="1"/>
  <c r="L790" i="1"/>
  <c r="M790" i="1" s="1"/>
  <c r="L791" i="1"/>
  <c r="M791" i="1" s="1"/>
  <c r="L792" i="1"/>
  <c r="M792" i="1" s="1"/>
  <c r="L793" i="1"/>
  <c r="M793" i="1" s="1"/>
  <c r="L794" i="1"/>
  <c r="M794" i="1" s="1"/>
  <c r="L795" i="1"/>
  <c r="M795" i="1" s="1"/>
  <c r="L796" i="1"/>
  <c r="M796" i="1" s="1"/>
  <c r="L797" i="1"/>
  <c r="M797" i="1" s="1"/>
  <c r="L798" i="1"/>
  <c r="M798" i="1" s="1"/>
  <c r="L799" i="1"/>
  <c r="M799" i="1" s="1"/>
  <c r="L800" i="1"/>
  <c r="M800" i="1" s="1"/>
  <c r="L801" i="1"/>
  <c r="M801" i="1" s="1"/>
  <c r="L802" i="1"/>
  <c r="M802" i="1" s="1"/>
  <c r="L803" i="1"/>
  <c r="M803" i="1" s="1"/>
  <c r="L804" i="1"/>
  <c r="M804" i="1" s="1"/>
  <c r="L805" i="1"/>
  <c r="M805" i="1" s="1"/>
  <c r="L806" i="1"/>
  <c r="M806" i="1" s="1"/>
  <c r="L807" i="1"/>
  <c r="M807" i="1" s="1"/>
  <c r="L808" i="1"/>
  <c r="M808" i="1" s="1"/>
  <c r="L809" i="1"/>
  <c r="M809" i="1" s="1"/>
  <c r="L810" i="1"/>
  <c r="M810" i="1" s="1"/>
  <c r="L811" i="1"/>
  <c r="M811" i="1" s="1"/>
  <c r="L812" i="1"/>
  <c r="M812" i="1" s="1"/>
  <c r="L813" i="1"/>
  <c r="M813" i="1" s="1"/>
  <c r="L814" i="1"/>
  <c r="M814" i="1" s="1"/>
  <c r="L815" i="1"/>
  <c r="M815" i="1" s="1"/>
  <c r="L816" i="1"/>
  <c r="M816" i="1" s="1"/>
  <c r="L817" i="1"/>
  <c r="M817" i="1" s="1"/>
  <c r="L818" i="1"/>
  <c r="M818" i="1" s="1"/>
  <c r="L819" i="1"/>
  <c r="M819" i="1" s="1"/>
  <c r="L820" i="1"/>
  <c r="M820" i="1" s="1"/>
  <c r="L821" i="1"/>
  <c r="M821" i="1" s="1"/>
  <c r="L822" i="1"/>
  <c r="M822" i="1" s="1"/>
  <c r="L823" i="1"/>
  <c r="M823" i="1" s="1"/>
  <c r="L824" i="1"/>
  <c r="M824" i="1" s="1"/>
  <c r="L825" i="1"/>
  <c r="M825" i="1" s="1"/>
  <c r="L826" i="1"/>
  <c r="M826" i="1" s="1"/>
  <c r="L827" i="1"/>
  <c r="M827" i="1" s="1"/>
  <c r="L828" i="1"/>
  <c r="M828" i="1" s="1"/>
  <c r="L829" i="1"/>
  <c r="M829" i="1" s="1"/>
  <c r="L830" i="1"/>
  <c r="M830" i="1" s="1"/>
  <c r="L831" i="1"/>
  <c r="M831" i="1" s="1"/>
  <c r="L832" i="1"/>
  <c r="M832" i="1" s="1"/>
  <c r="L833" i="1"/>
  <c r="M833" i="1" s="1"/>
  <c r="L834" i="1"/>
  <c r="M834" i="1" s="1"/>
  <c r="L835" i="1"/>
  <c r="M835" i="1" s="1"/>
  <c r="L836" i="1"/>
  <c r="M836" i="1" s="1"/>
  <c r="L837" i="1"/>
  <c r="M837" i="1" s="1"/>
  <c r="L838" i="1"/>
  <c r="M838" i="1" s="1"/>
  <c r="L839" i="1"/>
  <c r="M839" i="1" s="1"/>
  <c r="L840" i="1"/>
  <c r="M840" i="1" s="1"/>
  <c r="L841" i="1"/>
  <c r="M841" i="1" s="1"/>
  <c r="L842" i="1"/>
  <c r="M842" i="1" s="1"/>
  <c r="L843" i="1"/>
  <c r="M843" i="1" s="1"/>
  <c r="L844" i="1"/>
  <c r="M844" i="1" s="1"/>
  <c r="L845" i="1"/>
  <c r="M845" i="1" s="1"/>
  <c r="L846" i="1"/>
  <c r="M846" i="1" s="1"/>
  <c r="L847" i="1"/>
  <c r="M847" i="1" s="1"/>
  <c r="L848" i="1"/>
  <c r="M848" i="1" s="1"/>
  <c r="L849" i="1"/>
  <c r="M849" i="1" s="1"/>
  <c r="L850" i="1"/>
  <c r="M850" i="1" s="1"/>
  <c r="L851" i="1"/>
  <c r="M851" i="1" s="1"/>
  <c r="L852" i="1"/>
  <c r="M852" i="1" s="1"/>
  <c r="L853" i="1"/>
  <c r="M853" i="1" s="1"/>
  <c r="L854" i="1"/>
  <c r="M854" i="1" s="1"/>
  <c r="L855" i="1"/>
  <c r="M855" i="1" s="1"/>
  <c r="L856" i="1"/>
  <c r="M856" i="1" s="1"/>
  <c r="L857" i="1"/>
  <c r="M857" i="1" s="1"/>
  <c r="L858" i="1"/>
  <c r="M858" i="1" s="1"/>
  <c r="L859" i="1"/>
  <c r="M859" i="1" s="1"/>
  <c r="L860" i="1"/>
  <c r="M860" i="1" s="1"/>
  <c r="L861" i="1"/>
  <c r="M861" i="1" s="1"/>
  <c r="L862" i="1"/>
  <c r="M862" i="1" s="1"/>
  <c r="L863" i="1"/>
  <c r="M863" i="1" s="1"/>
  <c r="L864" i="1"/>
  <c r="M864" i="1" s="1"/>
  <c r="L865" i="1"/>
  <c r="M865" i="1" s="1"/>
  <c r="L866" i="1"/>
  <c r="M866" i="1" s="1"/>
  <c r="L867" i="1"/>
  <c r="M867" i="1" s="1"/>
  <c r="L868" i="1"/>
  <c r="M868" i="1" s="1"/>
  <c r="L869" i="1"/>
  <c r="M869" i="1" s="1"/>
  <c r="L870" i="1"/>
  <c r="M870" i="1" s="1"/>
  <c r="L871" i="1"/>
  <c r="M871" i="1" s="1"/>
  <c r="L872" i="1"/>
  <c r="M872" i="1" s="1"/>
  <c r="L873" i="1"/>
  <c r="M873" i="1" s="1"/>
  <c r="L874" i="1"/>
  <c r="M874" i="1" s="1"/>
  <c r="L875" i="1"/>
  <c r="M875" i="1" s="1"/>
  <c r="L876" i="1"/>
  <c r="M876" i="1" s="1"/>
  <c r="L877" i="1"/>
  <c r="M877" i="1" s="1"/>
  <c r="L878" i="1"/>
  <c r="M878" i="1" s="1"/>
  <c r="L879" i="1"/>
  <c r="M879" i="1" s="1"/>
  <c r="L880" i="1"/>
  <c r="M880" i="1" s="1"/>
  <c r="L881" i="1"/>
  <c r="M881" i="1" s="1"/>
  <c r="L882" i="1"/>
  <c r="M882" i="1" s="1"/>
  <c r="L883" i="1"/>
  <c r="M883" i="1" s="1"/>
  <c r="L884" i="1"/>
  <c r="M884" i="1" s="1"/>
  <c r="L885" i="1"/>
  <c r="M885" i="1" s="1"/>
  <c r="L886" i="1"/>
  <c r="M886" i="1" s="1"/>
  <c r="L887" i="1"/>
  <c r="M887" i="1" s="1"/>
  <c r="L888" i="1"/>
  <c r="M888" i="1" s="1"/>
  <c r="L889" i="1"/>
  <c r="M889" i="1" s="1"/>
  <c r="L890" i="1"/>
  <c r="M890" i="1" s="1"/>
  <c r="L891" i="1"/>
  <c r="M891" i="1" s="1"/>
  <c r="L892" i="1"/>
  <c r="M892" i="1" s="1"/>
  <c r="L893" i="1"/>
  <c r="M893" i="1" s="1"/>
  <c r="L894" i="1"/>
  <c r="M894" i="1" s="1"/>
  <c r="L895" i="1"/>
  <c r="M895" i="1" s="1"/>
  <c r="L896" i="1"/>
  <c r="M896" i="1" s="1"/>
  <c r="L897" i="1"/>
  <c r="M897" i="1" s="1"/>
  <c r="L898" i="1"/>
  <c r="M898" i="1" s="1"/>
  <c r="L899" i="1"/>
  <c r="M899" i="1" s="1"/>
  <c r="L900" i="1"/>
  <c r="M900" i="1" s="1"/>
  <c r="L901" i="1"/>
  <c r="M901" i="1" s="1"/>
  <c r="L902" i="1"/>
  <c r="M902" i="1" s="1"/>
  <c r="L903" i="1"/>
  <c r="M903" i="1" s="1"/>
  <c r="L904" i="1"/>
  <c r="M904" i="1" s="1"/>
  <c r="L905" i="1"/>
  <c r="M905" i="1" s="1"/>
  <c r="L906" i="1"/>
  <c r="M906" i="1" s="1"/>
  <c r="L907" i="1"/>
  <c r="M907" i="1" s="1"/>
  <c r="L908" i="1"/>
  <c r="M908" i="1" s="1"/>
  <c r="L909" i="1"/>
  <c r="M909" i="1" s="1"/>
  <c r="L910" i="1"/>
  <c r="M910" i="1" s="1"/>
  <c r="L911" i="1"/>
  <c r="M911" i="1" s="1"/>
  <c r="L912" i="1"/>
  <c r="M912" i="1" s="1"/>
  <c r="L913" i="1"/>
  <c r="M913" i="1" s="1"/>
  <c r="L914" i="1"/>
  <c r="M914" i="1" s="1"/>
  <c r="L915" i="1"/>
  <c r="M915" i="1" s="1"/>
  <c r="L916" i="1"/>
  <c r="M916" i="1" s="1"/>
  <c r="L917" i="1"/>
  <c r="M917" i="1" s="1"/>
  <c r="L918" i="1"/>
  <c r="M918" i="1" s="1"/>
  <c r="L919" i="1"/>
  <c r="M919" i="1" s="1"/>
  <c r="L920" i="1"/>
  <c r="M920" i="1" s="1"/>
  <c r="L921" i="1"/>
  <c r="M921" i="1" s="1"/>
  <c r="L922" i="1"/>
  <c r="M922" i="1" s="1"/>
  <c r="L923" i="1"/>
  <c r="M923" i="1" s="1"/>
  <c r="L924" i="1"/>
  <c r="M924" i="1" s="1"/>
  <c r="L925" i="1"/>
  <c r="M925" i="1" s="1"/>
  <c r="L926" i="1"/>
  <c r="M926" i="1" s="1"/>
  <c r="L927" i="1"/>
  <c r="M927" i="1" s="1"/>
  <c r="L928" i="1"/>
  <c r="M928" i="1" s="1"/>
  <c r="L929" i="1"/>
  <c r="M929" i="1" s="1"/>
  <c r="L930" i="1"/>
  <c r="M930" i="1" s="1"/>
  <c r="L931" i="1"/>
  <c r="M931" i="1" s="1"/>
  <c r="L932" i="1"/>
  <c r="M932" i="1" s="1"/>
  <c r="L933" i="1"/>
  <c r="M933" i="1" s="1"/>
  <c r="L934" i="1"/>
  <c r="M934" i="1" s="1"/>
  <c r="L935" i="1"/>
  <c r="M935" i="1" s="1"/>
  <c r="L936" i="1"/>
  <c r="M936" i="1" s="1"/>
  <c r="L937" i="1"/>
  <c r="M937" i="1" s="1"/>
  <c r="L938" i="1"/>
  <c r="M938" i="1" s="1"/>
  <c r="L939" i="1"/>
  <c r="M939" i="1" s="1"/>
  <c r="L940" i="1"/>
  <c r="M940" i="1" s="1"/>
  <c r="L941" i="1"/>
  <c r="M941" i="1" s="1"/>
  <c r="L942" i="1"/>
  <c r="M942" i="1" s="1"/>
  <c r="L943" i="1"/>
  <c r="M943" i="1" s="1"/>
  <c r="L944" i="1"/>
  <c r="M944" i="1" s="1"/>
  <c r="L945" i="1"/>
  <c r="M945" i="1" s="1"/>
  <c r="L946" i="1"/>
  <c r="M946" i="1" s="1"/>
  <c r="L947" i="1"/>
  <c r="M947" i="1" s="1"/>
  <c r="L948" i="1"/>
  <c r="M948" i="1" s="1"/>
  <c r="L949" i="1"/>
  <c r="M949" i="1" s="1"/>
  <c r="L950" i="1"/>
  <c r="M950" i="1" s="1"/>
  <c r="L951" i="1"/>
  <c r="M951" i="1" s="1"/>
  <c r="L952" i="1"/>
  <c r="M952" i="1" s="1"/>
  <c r="L953" i="1"/>
  <c r="M953" i="1" s="1"/>
  <c r="L954" i="1"/>
  <c r="M954" i="1" s="1"/>
  <c r="L955" i="1"/>
  <c r="M955" i="1" s="1"/>
  <c r="L956" i="1"/>
  <c r="M956" i="1" s="1"/>
  <c r="L957" i="1"/>
  <c r="M957" i="1" s="1"/>
  <c r="L958" i="1"/>
  <c r="M958" i="1" s="1"/>
  <c r="L959" i="1"/>
  <c r="M959" i="1" s="1"/>
  <c r="L960" i="1"/>
  <c r="M960" i="1" s="1"/>
  <c r="L961" i="1"/>
  <c r="M961" i="1" s="1"/>
  <c r="L962" i="1"/>
  <c r="M962" i="1" s="1"/>
  <c r="L963" i="1"/>
  <c r="M963" i="1" s="1"/>
  <c r="L964" i="1"/>
  <c r="M964" i="1" s="1"/>
  <c r="L965" i="1"/>
  <c r="M965" i="1" s="1"/>
  <c r="L966" i="1"/>
  <c r="M966" i="1" s="1"/>
  <c r="L967" i="1"/>
  <c r="M967" i="1" s="1"/>
  <c r="L968" i="1"/>
  <c r="M968" i="1" s="1"/>
  <c r="L969" i="1"/>
  <c r="M969" i="1" s="1"/>
  <c r="L970" i="1"/>
  <c r="M970" i="1" s="1"/>
  <c r="L971" i="1"/>
  <c r="M971" i="1" s="1"/>
  <c r="L972" i="1"/>
  <c r="M972" i="1" s="1"/>
  <c r="L973" i="1"/>
  <c r="M973" i="1" s="1"/>
  <c r="L974" i="1"/>
  <c r="M974" i="1" s="1"/>
  <c r="L975" i="1"/>
  <c r="M975" i="1" s="1"/>
  <c r="L976" i="1"/>
  <c r="M976" i="1" s="1"/>
  <c r="L977" i="1"/>
  <c r="M977" i="1" s="1"/>
  <c r="L978" i="1"/>
  <c r="M978" i="1" s="1"/>
  <c r="L979" i="1"/>
  <c r="M979" i="1" s="1"/>
  <c r="L980" i="1"/>
  <c r="M980" i="1" s="1"/>
  <c r="L981" i="1"/>
  <c r="M981" i="1" s="1"/>
  <c r="L982" i="1"/>
  <c r="M982" i="1" s="1"/>
  <c r="L983" i="1"/>
  <c r="M983" i="1" s="1"/>
  <c r="L984" i="1"/>
  <c r="M984" i="1" s="1"/>
  <c r="L985" i="1"/>
  <c r="M985" i="1" s="1"/>
  <c r="L986" i="1"/>
  <c r="M986" i="1" s="1"/>
  <c r="L987" i="1"/>
  <c r="M987" i="1" s="1"/>
  <c r="L988" i="1"/>
  <c r="M988" i="1" s="1"/>
  <c r="L989" i="1"/>
  <c r="M989" i="1" s="1"/>
  <c r="L990" i="1"/>
  <c r="M990" i="1" s="1"/>
  <c r="L991" i="1"/>
  <c r="M991" i="1" s="1"/>
  <c r="L992" i="1"/>
  <c r="M992" i="1" s="1"/>
  <c r="L993" i="1"/>
  <c r="M993" i="1" s="1"/>
  <c r="L994" i="1"/>
  <c r="M994" i="1" s="1"/>
  <c r="L995" i="1"/>
  <c r="M995" i="1" s="1"/>
  <c r="L996" i="1"/>
  <c r="M996" i="1" s="1"/>
  <c r="L997" i="1"/>
  <c r="M997" i="1" s="1"/>
  <c r="L998" i="1"/>
  <c r="M998" i="1" s="1"/>
  <c r="L999" i="1"/>
  <c r="M999" i="1" s="1"/>
  <c r="L1000" i="1"/>
  <c r="M1000" i="1" s="1"/>
  <c r="L1001" i="1"/>
  <c r="M1001" i="1" s="1"/>
  <c r="L1002" i="1"/>
  <c r="M1002" i="1" s="1"/>
  <c r="L1003" i="1"/>
  <c r="M1003" i="1" s="1"/>
  <c r="L1004" i="1"/>
  <c r="M1004" i="1" s="1"/>
  <c r="L1005" i="1"/>
  <c r="M1005" i="1" s="1"/>
  <c r="L1006" i="1"/>
  <c r="M1006" i="1" s="1"/>
  <c r="L1007" i="1"/>
  <c r="M1007" i="1" s="1"/>
  <c r="L1008" i="1"/>
  <c r="M1008" i="1" s="1"/>
  <c r="L1009" i="1"/>
  <c r="M1009" i="1" s="1"/>
  <c r="L1010" i="1"/>
  <c r="M1010" i="1" s="1"/>
  <c r="L1011" i="1"/>
  <c r="M1011" i="1" s="1"/>
  <c r="L1012" i="1"/>
  <c r="M1012" i="1" s="1"/>
  <c r="L1013" i="1"/>
  <c r="M1013" i="1" s="1"/>
  <c r="L1014" i="1"/>
  <c r="M1014" i="1" s="1"/>
  <c r="L1015" i="1"/>
  <c r="M1015" i="1" s="1"/>
  <c r="L1016" i="1"/>
  <c r="M1016" i="1" s="1"/>
  <c r="L1017" i="1"/>
  <c r="M1017" i="1" s="1"/>
  <c r="L1018" i="1"/>
  <c r="M1018" i="1" s="1"/>
  <c r="L1019" i="1"/>
  <c r="M1019" i="1" s="1"/>
  <c r="L1020" i="1"/>
  <c r="M1020" i="1" s="1"/>
  <c r="L1021" i="1"/>
  <c r="M1021" i="1" s="1"/>
  <c r="L1022" i="1"/>
  <c r="M1022" i="1" s="1"/>
  <c r="L1023" i="1"/>
  <c r="M1023" i="1" s="1"/>
  <c r="L1024" i="1"/>
  <c r="M1024" i="1" s="1"/>
  <c r="L1025" i="1"/>
  <c r="M1025" i="1" s="1"/>
  <c r="L1026" i="1"/>
  <c r="M1026" i="1" s="1"/>
  <c r="L1027" i="1"/>
  <c r="M1027" i="1" s="1"/>
  <c r="L1028" i="1"/>
  <c r="M1028" i="1" s="1"/>
  <c r="L1029" i="1"/>
  <c r="M1029" i="1" s="1"/>
  <c r="L1030" i="1"/>
  <c r="M1030" i="1" s="1"/>
  <c r="L1031" i="1"/>
  <c r="M1031" i="1" s="1"/>
  <c r="L1032" i="1"/>
  <c r="M1032" i="1" s="1"/>
  <c r="L1033" i="1"/>
  <c r="M1033" i="1" s="1"/>
  <c r="L1034" i="1"/>
  <c r="M1034" i="1" s="1"/>
  <c r="L1035" i="1"/>
  <c r="M1035" i="1" s="1"/>
  <c r="L1036" i="1"/>
  <c r="M1036" i="1" s="1"/>
  <c r="L1037" i="1"/>
  <c r="M1037" i="1" s="1"/>
  <c r="L1038" i="1"/>
  <c r="M1038" i="1" s="1"/>
  <c r="L1039" i="1"/>
  <c r="M1039" i="1" s="1"/>
  <c r="L1040" i="1"/>
  <c r="M1040" i="1" s="1"/>
  <c r="L1041" i="1"/>
  <c r="M1041" i="1" s="1"/>
  <c r="L1042" i="1"/>
  <c r="M1042" i="1" s="1"/>
  <c r="L1043" i="1"/>
  <c r="M1043" i="1" s="1"/>
  <c r="L1044" i="1"/>
  <c r="M1044" i="1" s="1"/>
  <c r="L1045" i="1"/>
  <c r="M1045" i="1" s="1"/>
  <c r="L1046" i="1"/>
  <c r="M1046" i="1" s="1"/>
  <c r="L1047" i="1"/>
  <c r="M1047" i="1" s="1"/>
  <c r="L1048" i="1"/>
  <c r="M1048" i="1" s="1"/>
  <c r="L1049" i="1"/>
  <c r="M1049" i="1" s="1"/>
  <c r="L1050" i="1"/>
  <c r="M1050" i="1" s="1"/>
  <c r="L1051" i="1"/>
  <c r="M1051" i="1" s="1"/>
  <c r="L1052" i="1"/>
  <c r="M1052" i="1" s="1"/>
  <c r="L1053" i="1"/>
  <c r="M1053" i="1" s="1"/>
  <c r="L1054" i="1"/>
  <c r="M1054" i="1" s="1"/>
  <c r="L1055" i="1"/>
  <c r="M1055" i="1" s="1"/>
  <c r="L1056" i="1"/>
  <c r="M1056" i="1" s="1"/>
  <c r="L1057" i="1"/>
  <c r="M1057" i="1" s="1"/>
  <c r="L1058" i="1"/>
  <c r="M1058" i="1" s="1"/>
  <c r="L1059" i="1"/>
  <c r="M1059" i="1" s="1"/>
  <c r="L1060" i="1"/>
  <c r="M1060" i="1" s="1"/>
  <c r="L1061" i="1"/>
  <c r="M1061" i="1" s="1"/>
  <c r="L1062" i="1"/>
  <c r="M1062" i="1" s="1"/>
  <c r="L1063" i="1"/>
  <c r="M1063" i="1" s="1"/>
  <c r="L1064" i="1"/>
  <c r="M1064" i="1" s="1"/>
  <c r="L1065" i="1"/>
  <c r="M1065" i="1" s="1"/>
  <c r="L1066" i="1"/>
  <c r="M1066" i="1" s="1"/>
  <c r="L1067" i="1"/>
  <c r="M1067" i="1" s="1"/>
  <c r="L1068" i="1"/>
  <c r="M1068" i="1" s="1"/>
  <c r="L1069" i="1"/>
  <c r="M1069" i="1" s="1"/>
  <c r="L1070" i="1"/>
  <c r="M1070" i="1" s="1"/>
  <c r="L1071" i="1"/>
  <c r="M1071" i="1" s="1"/>
  <c r="L1072" i="1"/>
  <c r="M1072" i="1" s="1"/>
  <c r="L1073" i="1"/>
  <c r="M1073" i="1" s="1"/>
  <c r="L1074" i="1"/>
  <c r="M1074" i="1" s="1"/>
  <c r="L1075" i="1"/>
  <c r="M1075" i="1" s="1"/>
  <c r="L1076" i="1"/>
  <c r="M1076" i="1" s="1"/>
  <c r="L1077" i="1"/>
  <c r="M1077" i="1" s="1"/>
  <c r="L1078" i="1"/>
  <c r="M1078" i="1" s="1"/>
  <c r="L1079" i="1"/>
  <c r="M1079" i="1" s="1"/>
  <c r="L1080" i="1"/>
  <c r="M1080" i="1" s="1"/>
  <c r="L1081" i="1"/>
  <c r="M1081" i="1" s="1"/>
  <c r="L1082" i="1"/>
  <c r="M1082" i="1" s="1"/>
  <c r="L1083" i="1"/>
  <c r="M1083" i="1" s="1"/>
  <c r="L1084" i="1"/>
  <c r="M1084" i="1" s="1"/>
  <c r="L1085" i="1"/>
  <c r="M1085" i="1" s="1"/>
  <c r="L1086" i="1"/>
  <c r="M1086" i="1" s="1"/>
  <c r="L1087" i="1"/>
  <c r="M1087" i="1" s="1"/>
  <c r="L1088" i="1"/>
  <c r="M1088" i="1" s="1"/>
  <c r="L1089" i="1"/>
  <c r="M1089" i="1" s="1"/>
  <c r="L1090" i="1"/>
  <c r="M1090" i="1" s="1"/>
  <c r="L1091" i="1"/>
  <c r="M1091" i="1" s="1"/>
  <c r="L1092" i="1"/>
  <c r="M1092" i="1" s="1"/>
  <c r="L1093" i="1"/>
  <c r="M1093" i="1" s="1"/>
  <c r="L1094" i="1"/>
  <c r="M1094" i="1" s="1"/>
  <c r="L1095" i="1"/>
  <c r="M1095" i="1" s="1"/>
  <c r="L1096" i="1"/>
  <c r="M1096" i="1" s="1"/>
  <c r="L1097" i="1"/>
  <c r="M1097" i="1" s="1"/>
  <c r="L1098" i="1"/>
  <c r="M1098" i="1" s="1"/>
  <c r="L1099" i="1"/>
  <c r="M1099" i="1" s="1"/>
  <c r="L1100" i="1"/>
  <c r="M1100" i="1" s="1"/>
  <c r="L1101" i="1"/>
  <c r="M1101" i="1" s="1"/>
  <c r="L1102" i="1"/>
  <c r="M1102" i="1" s="1"/>
  <c r="L1103" i="1"/>
  <c r="M1103" i="1" s="1"/>
  <c r="L1104" i="1"/>
  <c r="M1104" i="1" s="1"/>
  <c r="L1105" i="1"/>
  <c r="M1105" i="1" s="1"/>
  <c r="L1106" i="1"/>
  <c r="M1106" i="1" s="1"/>
  <c r="L1107" i="1"/>
  <c r="M1107" i="1" s="1"/>
  <c r="L1108" i="1"/>
  <c r="M1108" i="1" s="1"/>
  <c r="L1109" i="1"/>
  <c r="M1109" i="1" s="1"/>
  <c r="L1110" i="1"/>
  <c r="M1110" i="1" s="1"/>
  <c r="L1111" i="1"/>
  <c r="M1111" i="1" s="1"/>
  <c r="L1112" i="1"/>
  <c r="M1112" i="1" s="1"/>
  <c r="L1113" i="1"/>
  <c r="M1113" i="1" s="1"/>
  <c r="L1114" i="1"/>
  <c r="M1114" i="1" s="1"/>
  <c r="L1115" i="1"/>
  <c r="M1115" i="1" s="1"/>
  <c r="L1116" i="1"/>
  <c r="M1116" i="1" s="1"/>
  <c r="L1117" i="1"/>
  <c r="M1117" i="1" s="1"/>
  <c r="L1118" i="1"/>
  <c r="M1118" i="1" s="1"/>
  <c r="L1119" i="1"/>
  <c r="M1119" i="1" s="1"/>
  <c r="L1120" i="1"/>
  <c r="M1120" i="1" s="1"/>
  <c r="L1121" i="1"/>
  <c r="M1121" i="1" s="1"/>
  <c r="L1122" i="1"/>
  <c r="M1122" i="1" s="1"/>
  <c r="L1123" i="1"/>
  <c r="M1123" i="1" s="1"/>
  <c r="L1124" i="1"/>
  <c r="M1124" i="1" s="1"/>
  <c r="L1125" i="1"/>
  <c r="M1125" i="1" s="1"/>
  <c r="L1126" i="1"/>
  <c r="M1126" i="1" s="1"/>
  <c r="L1127" i="1"/>
  <c r="M1127" i="1" s="1"/>
  <c r="L1128" i="1"/>
  <c r="M1128" i="1" s="1"/>
  <c r="L1129" i="1"/>
  <c r="M1129" i="1" s="1"/>
  <c r="L1130" i="1"/>
  <c r="M1130" i="1" s="1"/>
  <c r="L1131" i="1"/>
  <c r="M1131" i="1" s="1"/>
  <c r="L1132" i="1"/>
  <c r="M1132" i="1" s="1"/>
  <c r="L1133" i="1"/>
  <c r="M1133" i="1" s="1"/>
  <c r="L1134" i="1"/>
  <c r="M1134" i="1" s="1"/>
  <c r="L1135" i="1"/>
  <c r="M1135" i="1" s="1"/>
  <c r="L1136" i="1"/>
  <c r="M1136" i="1" s="1"/>
  <c r="L1137" i="1"/>
  <c r="M1137" i="1" s="1"/>
  <c r="L1138" i="1"/>
  <c r="M1138" i="1" s="1"/>
  <c r="L1139" i="1"/>
  <c r="M1139" i="1" s="1"/>
  <c r="L1140" i="1"/>
  <c r="M1140" i="1" s="1"/>
  <c r="L1141" i="1"/>
  <c r="M1141" i="1" s="1"/>
  <c r="L1142" i="1"/>
  <c r="M1142" i="1" s="1"/>
  <c r="L1143" i="1"/>
  <c r="M1143" i="1" s="1"/>
  <c r="L1144" i="1"/>
  <c r="M1144" i="1" s="1"/>
  <c r="L1145" i="1"/>
  <c r="M1145" i="1" s="1"/>
  <c r="L1146" i="1"/>
  <c r="M1146" i="1" s="1"/>
  <c r="L1147" i="1"/>
  <c r="M1147" i="1" s="1"/>
  <c r="L1148" i="1"/>
  <c r="M1148" i="1" s="1"/>
  <c r="L1149" i="1"/>
  <c r="M1149" i="1" s="1"/>
  <c r="L1150" i="1"/>
  <c r="M1150" i="1" s="1"/>
  <c r="L1151" i="1"/>
  <c r="M1151" i="1" s="1"/>
  <c r="L1152" i="1"/>
  <c r="M1152" i="1" s="1"/>
  <c r="L1153" i="1"/>
  <c r="M1153" i="1" s="1"/>
  <c r="L1154" i="1"/>
  <c r="M1154" i="1" s="1"/>
  <c r="L1155" i="1"/>
  <c r="M1155" i="1" s="1"/>
  <c r="L1156" i="1"/>
  <c r="M1156" i="1" s="1"/>
  <c r="L1157" i="1"/>
  <c r="M1157" i="1" s="1"/>
  <c r="L1158" i="1"/>
  <c r="M1158" i="1" s="1"/>
  <c r="L1159" i="1"/>
  <c r="M1159" i="1" s="1"/>
  <c r="L1160" i="1"/>
  <c r="M1160" i="1" s="1"/>
  <c r="L1161" i="1"/>
  <c r="M1161" i="1" s="1"/>
  <c r="L1162" i="1"/>
  <c r="M1162" i="1" s="1"/>
  <c r="L1163" i="1"/>
  <c r="M1163" i="1" s="1"/>
  <c r="L1164" i="1"/>
  <c r="M1164" i="1" s="1"/>
  <c r="L1165" i="1"/>
  <c r="M1165" i="1" s="1"/>
  <c r="L1166" i="1"/>
  <c r="M1166" i="1" s="1"/>
  <c r="L1167" i="1"/>
  <c r="M1167" i="1" s="1"/>
  <c r="L1168" i="1"/>
  <c r="M1168" i="1" s="1"/>
  <c r="L1169" i="1"/>
  <c r="M1169" i="1" s="1"/>
  <c r="L1170" i="1"/>
  <c r="M1170" i="1" s="1"/>
  <c r="L1171" i="1"/>
  <c r="M1171" i="1" s="1"/>
  <c r="L1172" i="1"/>
  <c r="M1172" i="1" s="1"/>
  <c r="L1173" i="1"/>
  <c r="M1173" i="1" s="1"/>
  <c r="L1174" i="1"/>
  <c r="M1174" i="1" s="1"/>
  <c r="L1175" i="1"/>
  <c r="M1175" i="1" s="1"/>
  <c r="L1176" i="1"/>
  <c r="M1176" i="1" s="1"/>
  <c r="L1177" i="1"/>
  <c r="M1177" i="1" s="1"/>
  <c r="L1178" i="1"/>
  <c r="M1178" i="1" s="1"/>
  <c r="L1179" i="1"/>
  <c r="M1179" i="1" s="1"/>
  <c r="L1180" i="1"/>
  <c r="M1180" i="1" s="1"/>
  <c r="L1181" i="1"/>
  <c r="M1181" i="1" s="1"/>
  <c r="L1182" i="1"/>
  <c r="M1182" i="1" s="1"/>
  <c r="L1183" i="1"/>
  <c r="M1183" i="1" s="1"/>
  <c r="L1184" i="1"/>
  <c r="M1184" i="1" s="1"/>
  <c r="L1185" i="1"/>
  <c r="M1185" i="1" s="1"/>
  <c r="L1186" i="1"/>
  <c r="M1186" i="1" s="1"/>
  <c r="L1187" i="1"/>
  <c r="M1187" i="1" s="1"/>
  <c r="L1188" i="1"/>
  <c r="M1188" i="1" s="1"/>
  <c r="L1189" i="1"/>
  <c r="M1189" i="1" s="1"/>
  <c r="L1190" i="1"/>
  <c r="M1190" i="1" s="1"/>
  <c r="L1191" i="1"/>
  <c r="M1191" i="1" s="1"/>
  <c r="L1192" i="1"/>
  <c r="M1192" i="1" s="1"/>
  <c r="L1193" i="1"/>
  <c r="M1193" i="1" s="1"/>
  <c r="L1194" i="1"/>
  <c r="M1194" i="1" s="1"/>
  <c r="L1195" i="1"/>
  <c r="M1195" i="1" s="1"/>
  <c r="L1196" i="1"/>
  <c r="M1196" i="1" s="1"/>
  <c r="L1197" i="1"/>
  <c r="M1197" i="1" s="1"/>
  <c r="L1198" i="1"/>
  <c r="M1198" i="1" s="1"/>
  <c r="L1199" i="1"/>
  <c r="M1199" i="1" s="1"/>
  <c r="L1200" i="1"/>
  <c r="M1200" i="1" s="1"/>
  <c r="L1201" i="1"/>
  <c r="M1201" i="1" s="1"/>
  <c r="L1202" i="1"/>
  <c r="M1202" i="1" s="1"/>
  <c r="L1203" i="1"/>
  <c r="M1203" i="1" s="1"/>
  <c r="L1204" i="1"/>
  <c r="M1204" i="1" s="1"/>
  <c r="L1205" i="1"/>
  <c r="M1205" i="1" s="1"/>
  <c r="L1206" i="1"/>
  <c r="M1206" i="1" s="1"/>
  <c r="L1207" i="1"/>
  <c r="M1207" i="1" s="1"/>
  <c r="L1208" i="1"/>
  <c r="M1208" i="1" s="1"/>
  <c r="L1209" i="1"/>
  <c r="M1209" i="1" s="1"/>
  <c r="L1210" i="1"/>
  <c r="M1210" i="1" s="1"/>
  <c r="L1211" i="1"/>
  <c r="M1211" i="1" s="1"/>
  <c r="L1212" i="1"/>
  <c r="M1212" i="1" s="1"/>
  <c r="L1213" i="1"/>
  <c r="M1213" i="1" s="1"/>
  <c r="L1214" i="1"/>
  <c r="M1214" i="1" s="1"/>
  <c r="L1215" i="1"/>
  <c r="M1215" i="1" s="1"/>
  <c r="L1216" i="1"/>
  <c r="M1216" i="1" s="1"/>
  <c r="L1217" i="1"/>
  <c r="M1217" i="1" s="1"/>
  <c r="L1218" i="1"/>
  <c r="M1218" i="1" s="1"/>
  <c r="L1219" i="1"/>
  <c r="M1219" i="1" s="1"/>
  <c r="L1220" i="1"/>
  <c r="M1220" i="1" s="1"/>
  <c r="L1221" i="1"/>
  <c r="M1221" i="1" s="1"/>
  <c r="L1222" i="1"/>
  <c r="M1222" i="1" s="1"/>
  <c r="L1223" i="1"/>
  <c r="M1223" i="1" s="1"/>
  <c r="L1224" i="1"/>
  <c r="M1224" i="1" s="1"/>
  <c r="L1225" i="1"/>
  <c r="M1225" i="1" s="1"/>
  <c r="L1226" i="1"/>
  <c r="M1226" i="1" s="1"/>
  <c r="L1227" i="1"/>
  <c r="M1227" i="1" s="1"/>
  <c r="L1228" i="1"/>
  <c r="M1228" i="1" s="1"/>
  <c r="L1229" i="1"/>
  <c r="M1229" i="1" s="1"/>
  <c r="L1230" i="1"/>
  <c r="M1230" i="1" s="1"/>
  <c r="L1231" i="1"/>
  <c r="M1231" i="1" s="1"/>
  <c r="L1232" i="1"/>
  <c r="M1232" i="1" s="1"/>
  <c r="L1233" i="1"/>
  <c r="M1233" i="1" s="1"/>
  <c r="L1234" i="1"/>
  <c r="M1234" i="1" s="1"/>
  <c r="L1235" i="1"/>
  <c r="M1235" i="1" s="1"/>
  <c r="L1236" i="1"/>
  <c r="M1236" i="1" s="1"/>
  <c r="L1237" i="1"/>
  <c r="M1237" i="1" s="1"/>
  <c r="L1238" i="1"/>
  <c r="M1238" i="1" s="1"/>
  <c r="L1239" i="1"/>
  <c r="M1239" i="1" s="1"/>
  <c r="L1240" i="1"/>
  <c r="M1240" i="1" s="1"/>
  <c r="L1241" i="1"/>
  <c r="M1241" i="1" s="1"/>
  <c r="L1242" i="1"/>
  <c r="M1242" i="1" s="1"/>
  <c r="L1243" i="1"/>
  <c r="M1243" i="1" s="1"/>
  <c r="L1244" i="1"/>
  <c r="M1244" i="1" s="1"/>
  <c r="L1245" i="1"/>
  <c r="M1245" i="1" s="1"/>
  <c r="L1246" i="1"/>
  <c r="M1246" i="1" s="1"/>
  <c r="L1247" i="1"/>
  <c r="M1247" i="1" s="1"/>
  <c r="L1248" i="1"/>
  <c r="M1248" i="1" s="1"/>
  <c r="L1249" i="1"/>
  <c r="M1249" i="1" s="1"/>
  <c r="L1250" i="1"/>
  <c r="M1250" i="1" s="1"/>
  <c r="L1251" i="1"/>
  <c r="M1251" i="1" s="1"/>
  <c r="L1252" i="1"/>
  <c r="M1252" i="1" s="1"/>
  <c r="L1253" i="1"/>
  <c r="M1253" i="1" s="1"/>
  <c r="L1254" i="1"/>
  <c r="M1254" i="1" s="1"/>
  <c r="L1255" i="1"/>
  <c r="M1255" i="1" s="1"/>
  <c r="L1256" i="1"/>
  <c r="M1256" i="1" s="1"/>
  <c r="L1257" i="1"/>
  <c r="M1257" i="1" s="1"/>
  <c r="L1258" i="1"/>
  <c r="M1258" i="1" s="1"/>
  <c r="L1259" i="1"/>
  <c r="M1259" i="1" s="1"/>
  <c r="L1260" i="1"/>
  <c r="M1260" i="1" s="1"/>
  <c r="L1261" i="1"/>
  <c r="M1261" i="1" s="1"/>
  <c r="L1262" i="1"/>
  <c r="M1262" i="1" s="1"/>
  <c r="L1263" i="1"/>
  <c r="M1263" i="1" s="1"/>
  <c r="L1264" i="1"/>
  <c r="M1264" i="1" s="1"/>
  <c r="L1265" i="1"/>
  <c r="M1265" i="1" s="1"/>
  <c r="L1266" i="1"/>
  <c r="M1266" i="1" s="1"/>
  <c r="L1267" i="1"/>
  <c r="M1267" i="1" s="1"/>
  <c r="L1268" i="1"/>
  <c r="M1268" i="1" s="1"/>
  <c r="L1269" i="1"/>
  <c r="M1269" i="1" s="1"/>
  <c r="L1270" i="1"/>
  <c r="M1270" i="1" s="1"/>
  <c r="L1271" i="1"/>
  <c r="M1271" i="1" s="1"/>
  <c r="L1272" i="1"/>
  <c r="M1272" i="1" s="1"/>
  <c r="L1273" i="1"/>
  <c r="M1273" i="1" s="1"/>
  <c r="L1274" i="1"/>
  <c r="M1274" i="1" s="1"/>
  <c r="L1275" i="1"/>
  <c r="M1275" i="1" s="1"/>
  <c r="L1276" i="1"/>
  <c r="M1276" i="1" s="1"/>
  <c r="L1277" i="1"/>
  <c r="M1277" i="1" s="1"/>
  <c r="L1278" i="1"/>
  <c r="M1278" i="1" s="1"/>
  <c r="L1279" i="1"/>
  <c r="M1279" i="1" s="1"/>
  <c r="L1280" i="1"/>
  <c r="M1280" i="1" s="1"/>
  <c r="L1281" i="1"/>
  <c r="M1281" i="1" s="1"/>
  <c r="L1282" i="1"/>
  <c r="M1282" i="1" s="1"/>
  <c r="L1283" i="1"/>
  <c r="M1283" i="1" s="1"/>
  <c r="L1284" i="1"/>
  <c r="M1284" i="1" s="1"/>
  <c r="L1285" i="1"/>
  <c r="M1285" i="1" s="1"/>
  <c r="L1286" i="1"/>
  <c r="M1286" i="1" s="1"/>
  <c r="L1287" i="1"/>
  <c r="M1287" i="1" s="1"/>
  <c r="L1288" i="1"/>
  <c r="M1288" i="1" s="1"/>
  <c r="L1289" i="1"/>
  <c r="M1289" i="1" s="1"/>
  <c r="L1290" i="1"/>
  <c r="M1290" i="1" s="1"/>
  <c r="L1291" i="1"/>
  <c r="M1291" i="1" s="1"/>
  <c r="L1292" i="1"/>
  <c r="M1292" i="1" s="1"/>
  <c r="L1293" i="1"/>
  <c r="M1293" i="1" s="1"/>
  <c r="L1294" i="1"/>
  <c r="M1294" i="1" s="1"/>
  <c r="L1295" i="1"/>
  <c r="M1295" i="1" s="1"/>
  <c r="L1296" i="1"/>
  <c r="M1296" i="1" s="1"/>
  <c r="L1297" i="1"/>
  <c r="M1297" i="1" s="1"/>
  <c r="L1298" i="1"/>
  <c r="M1298" i="1" s="1"/>
  <c r="L1299" i="1"/>
  <c r="M1299" i="1" s="1"/>
  <c r="L1300" i="1"/>
  <c r="M1300" i="1" s="1"/>
  <c r="L1301" i="1"/>
  <c r="M1301" i="1" s="1"/>
  <c r="L1302" i="1"/>
  <c r="M1302" i="1" s="1"/>
  <c r="L1303" i="1"/>
  <c r="M1303" i="1" s="1"/>
  <c r="L1304" i="1"/>
  <c r="M1304" i="1" s="1"/>
  <c r="L1305" i="1"/>
  <c r="M1305" i="1" s="1"/>
  <c r="L1306" i="1"/>
  <c r="M1306" i="1" s="1"/>
  <c r="L1307" i="1"/>
  <c r="M1307" i="1" s="1"/>
  <c r="L1308" i="1"/>
  <c r="M1308" i="1" s="1"/>
  <c r="L1309" i="1"/>
  <c r="M1309" i="1" s="1"/>
  <c r="L1310" i="1"/>
  <c r="M1310" i="1" s="1"/>
  <c r="L1311" i="1"/>
  <c r="M1311" i="1" s="1"/>
  <c r="L1312" i="1"/>
  <c r="M1312" i="1" s="1"/>
  <c r="L1313" i="1"/>
  <c r="M1313" i="1" s="1"/>
  <c r="L1314" i="1"/>
  <c r="M1314" i="1" s="1"/>
  <c r="L1315" i="1"/>
  <c r="M1315" i="1" s="1"/>
  <c r="L1316" i="1"/>
  <c r="M1316" i="1" s="1"/>
  <c r="L1317" i="1"/>
  <c r="M1317" i="1" s="1"/>
  <c r="L1318" i="1"/>
  <c r="M1318" i="1" s="1"/>
  <c r="L1319" i="1"/>
  <c r="M1319" i="1" s="1"/>
  <c r="L1320" i="1"/>
  <c r="M1320" i="1" s="1"/>
  <c r="L1321" i="1"/>
  <c r="M1321" i="1" s="1"/>
  <c r="L1322" i="1"/>
  <c r="M1322" i="1" s="1"/>
  <c r="L1323" i="1"/>
  <c r="M1323" i="1" s="1"/>
  <c r="L1324" i="1"/>
  <c r="M1324" i="1" s="1"/>
  <c r="L1325" i="1"/>
  <c r="M1325" i="1" s="1"/>
  <c r="L1326" i="1"/>
  <c r="M1326" i="1" s="1"/>
  <c r="L1327" i="1"/>
  <c r="M1327" i="1" s="1"/>
  <c r="L1328" i="1"/>
  <c r="M1328" i="1" s="1"/>
  <c r="L1329" i="1"/>
  <c r="M1329" i="1" s="1"/>
  <c r="L1330" i="1"/>
  <c r="M1330" i="1" s="1"/>
  <c r="L1331" i="1"/>
  <c r="M1331" i="1" s="1"/>
  <c r="L1332" i="1"/>
  <c r="M1332" i="1" s="1"/>
  <c r="L1333" i="1"/>
  <c r="M1333" i="1" s="1"/>
  <c r="L1334" i="1"/>
  <c r="M1334" i="1" s="1"/>
  <c r="L1335" i="1"/>
  <c r="M1335" i="1" s="1"/>
  <c r="L1336" i="1"/>
  <c r="M1336" i="1" s="1"/>
  <c r="L1337" i="1"/>
  <c r="M1337" i="1" s="1"/>
  <c r="L1338" i="1"/>
  <c r="M1338" i="1" s="1"/>
  <c r="L1339" i="1"/>
  <c r="M1339" i="1" s="1"/>
  <c r="L1340" i="1"/>
  <c r="M1340" i="1" s="1"/>
  <c r="L1341" i="1"/>
  <c r="M1341" i="1" s="1"/>
  <c r="L1342" i="1"/>
  <c r="M1342" i="1" s="1"/>
  <c r="L1343" i="1"/>
  <c r="M1343" i="1" s="1"/>
  <c r="L1344" i="1"/>
  <c r="M1344" i="1" s="1"/>
  <c r="L1345" i="1"/>
  <c r="M1345" i="1" s="1"/>
  <c r="L1346" i="1"/>
  <c r="M1346" i="1" s="1"/>
  <c r="L1347" i="1"/>
  <c r="M1347" i="1" s="1"/>
  <c r="L1348" i="1"/>
  <c r="M1348" i="1" s="1"/>
  <c r="L1349" i="1"/>
  <c r="M1349" i="1" s="1"/>
  <c r="L1350" i="1"/>
  <c r="M1350" i="1" s="1"/>
  <c r="L1351" i="1"/>
  <c r="M1351" i="1" s="1"/>
  <c r="L1352" i="1"/>
  <c r="M1352" i="1" s="1"/>
  <c r="L1353" i="1"/>
  <c r="M1353" i="1" s="1"/>
  <c r="L1354" i="1"/>
  <c r="M1354" i="1" s="1"/>
  <c r="L1355" i="1"/>
  <c r="M1355" i="1" s="1"/>
  <c r="L1356" i="1"/>
  <c r="M1356" i="1" s="1"/>
  <c r="L1357" i="1"/>
  <c r="M1357" i="1" s="1"/>
  <c r="L1358" i="1"/>
  <c r="M1358" i="1" s="1"/>
  <c r="L1359" i="1"/>
  <c r="M1359" i="1" s="1"/>
  <c r="L1360" i="1"/>
  <c r="M1360" i="1" s="1"/>
  <c r="L1361" i="1"/>
  <c r="M1361" i="1" s="1"/>
  <c r="L1362" i="1"/>
  <c r="M1362" i="1" s="1"/>
  <c r="L1363" i="1"/>
  <c r="M1363" i="1" s="1"/>
  <c r="L1364" i="1"/>
  <c r="M1364" i="1" s="1"/>
  <c r="L1365" i="1"/>
  <c r="M1365" i="1" s="1"/>
  <c r="L1366" i="1"/>
  <c r="M1366" i="1" s="1"/>
  <c r="L1367" i="1"/>
  <c r="M1367" i="1" s="1"/>
  <c r="L1368" i="1"/>
  <c r="M1368" i="1" s="1"/>
  <c r="L1369" i="1"/>
  <c r="M1369" i="1" s="1"/>
  <c r="L1370" i="1"/>
  <c r="M1370" i="1" s="1"/>
  <c r="L1371" i="1"/>
  <c r="M1371" i="1" s="1"/>
  <c r="L1372" i="1"/>
  <c r="M1372" i="1" s="1"/>
  <c r="L1373" i="1"/>
  <c r="M1373" i="1" s="1"/>
  <c r="L1374" i="1"/>
  <c r="M1374" i="1" s="1"/>
  <c r="L1375" i="1"/>
  <c r="M1375" i="1" s="1"/>
  <c r="L1376" i="1"/>
  <c r="M1376" i="1" s="1"/>
  <c r="L1377" i="1"/>
  <c r="M1377" i="1" s="1"/>
  <c r="L1378" i="1"/>
  <c r="M1378" i="1" s="1"/>
  <c r="L1379" i="1"/>
  <c r="M1379" i="1" s="1"/>
  <c r="L1380" i="1"/>
  <c r="M1380" i="1" s="1"/>
  <c r="L1381" i="1"/>
  <c r="M1381" i="1" s="1"/>
  <c r="L1382" i="1"/>
  <c r="M1382" i="1" s="1"/>
  <c r="L1383" i="1"/>
  <c r="M1383" i="1" s="1"/>
  <c r="L1384" i="1"/>
  <c r="M1384" i="1" s="1"/>
  <c r="L1385" i="1"/>
  <c r="M1385" i="1" s="1"/>
  <c r="L1386" i="1"/>
  <c r="M1386" i="1" s="1"/>
  <c r="L1387" i="1"/>
  <c r="M1387" i="1" s="1"/>
  <c r="L1388" i="1"/>
  <c r="M1388" i="1" s="1"/>
  <c r="L1389" i="1"/>
  <c r="M1389" i="1" s="1"/>
  <c r="L1390" i="1"/>
  <c r="M1390" i="1" s="1"/>
  <c r="L1391" i="1"/>
  <c r="M1391" i="1" s="1"/>
  <c r="L1392" i="1"/>
  <c r="M1392" i="1" s="1"/>
  <c r="L1393" i="1"/>
  <c r="M1393" i="1" s="1"/>
  <c r="L1394" i="1"/>
  <c r="M1394" i="1" s="1"/>
  <c r="L1395" i="1"/>
  <c r="M1395" i="1" s="1"/>
  <c r="L1396" i="1"/>
  <c r="M1396" i="1" s="1"/>
  <c r="L1397" i="1"/>
  <c r="M1397" i="1" s="1"/>
  <c r="L1398" i="1"/>
  <c r="M1398" i="1" s="1"/>
  <c r="L1399" i="1"/>
  <c r="M1399" i="1" s="1"/>
  <c r="L1400" i="1"/>
  <c r="M1400" i="1" s="1"/>
  <c r="L1401" i="1"/>
  <c r="M1401" i="1" s="1"/>
  <c r="L1402" i="1"/>
  <c r="M1402" i="1" s="1"/>
  <c r="L1403" i="1"/>
  <c r="M1403" i="1" s="1"/>
  <c r="L1404" i="1"/>
  <c r="M1404" i="1" s="1"/>
  <c r="L1405" i="1"/>
  <c r="M1405" i="1" s="1"/>
  <c r="L1406" i="1"/>
  <c r="M1406" i="1" s="1"/>
  <c r="L1407" i="1"/>
  <c r="M1407" i="1" s="1"/>
  <c r="L1408" i="1"/>
  <c r="M1408" i="1" s="1"/>
  <c r="L1409" i="1"/>
  <c r="M1409" i="1" s="1"/>
  <c r="L1410" i="1"/>
  <c r="M1410" i="1" s="1"/>
  <c r="L1411" i="1"/>
  <c r="M1411" i="1" s="1"/>
  <c r="L1412" i="1"/>
  <c r="M1412" i="1" s="1"/>
  <c r="L1413" i="1"/>
  <c r="M1413" i="1" s="1"/>
  <c r="L1414" i="1"/>
  <c r="M1414" i="1" s="1"/>
  <c r="L1415" i="1"/>
  <c r="M1415" i="1" s="1"/>
  <c r="L1416" i="1"/>
  <c r="M1416" i="1" s="1"/>
  <c r="L1417" i="1"/>
  <c r="M1417" i="1" s="1"/>
  <c r="L1418" i="1"/>
  <c r="M1418" i="1" s="1"/>
  <c r="L1419" i="1"/>
  <c r="M1419" i="1" s="1"/>
  <c r="L1420" i="1"/>
  <c r="M1420" i="1" s="1"/>
  <c r="L1421" i="1"/>
  <c r="M1421" i="1" s="1"/>
  <c r="L1422" i="1"/>
  <c r="M1422" i="1" s="1"/>
  <c r="L1423" i="1"/>
  <c r="M1423" i="1" s="1"/>
  <c r="L1424" i="1"/>
  <c r="M1424" i="1" s="1"/>
  <c r="L1425" i="1"/>
  <c r="M1425" i="1" s="1"/>
  <c r="L1426" i="1"/>
  <c r="M1426" i="1" s="1"/>
  <c r="L1427" i="1"/>
  <c r="M1427" i="1" s="1"/>
  <c r="L1428" i="1"/>
  <c r="M1428" i="1" s="1"/>
  <c r="L1429" i="1"/>
  <c r="M1429" i="1" s="1"/>
  <c r="L1430" i="1"/>
  <c r="M1430" i="1" s="1"/>
  <c r="L1431" i="1"/>
  <c r="M1431" i="1" s="1"/>
  <c r="L1432" i="1"/>
  <c r="M1432" i="1" s="1"/>
  <c r="L1433" i="1"/>
  <c r="M1433" i="1" s="1"/>
  <c r="L1434" i="1"/>
  <c r="M1434" i="1" s="1"/>
  <c r="L1435" i="1"/>
  <c r="M1435" i="1" s="1"/>
  <c r="L1436" i="1"/>
  <c r="M1436" i="1" s="1"/>
  <c r="L1437" i="1"/>
  <c r="M1437" i="1" s="1"/>
  <c r="L1438" i="1"/>
  <c r="M1438" i="1" s="1"/>
  <c r="L1439" i="1"/>
  <c r="M1439" i="1" s="1"/>
  <c r="L1440" i="1"/>
  <c r="M1440" i="1" s="1"/>
  <c r="L1441" i="1"/>
  <c r="M1441" i="1" s="1"/>
  <c r="L1442" i="1"/>
  <c r="M1442" i="1" s="1"/>
  <c r="L1443" i="1"/>
  <c r="M1443" i="1" s="1"/>
  <c r="L1444" i="1"/>
  <c r="M1444" i="1" s="1"/>
  <c r="L1445" i="1"/>
  <c r="M1445" i="1" s="1"/>
  <c r="L1446" i="1"/>
  <c r="M1446" i="1" s="1"/>
  <c r="L1447" i="1"/>
  <c r="M1447" i="1" s="1"/>
  <c r="L1448" i="1"/>
  <c r="M1448" i="1" s="1"/>
  <c r="L1449" i="1"/>
  <c r="M1449" i="1" s="1"/>
  <c r="L1450" i="1"/>
  <c r="M1450" i="1" s="1"/>
  <c r="L1451" i="1"/>
  <c r="M1451" i="1" s="1"/>
  <c r="L1452" i="1"/>
  <c r="M1452" i="1" s="1"/>
  <c r="L1453" i="1"/>
  <c r="M1453" i="1" s="1"/>
  <c r="L1454" i="1"/>
  <c r="M1454" i="1" s="1"/>
  <c r="L1455" i="1"/>
  <c r="M1455" i="1" s="1"/>
  <c r="L1456" i="1"/>
  <c r="M1456" i="1" s="1"/>
  <c r="L1457" i="1"/>
  <c r="M1457" i="1" s="1"/>
  <c r="L1458" i="1"/>
  <c r="M1458" i="1" s="1"/>
  <c r="L1459" i="1"/>
  <c r="M1459" i="1" s="1"/>
  <c r="L1460" i="1"/>
  <c r="M1460" i="1" s="1"/>
  <c r="L1461" i="1"/>
  <c r="M1461" i="1" s="1"/>
  <c r="L1462" i="1"/>
  <c r="M1462" i="1" s="1"/>
  <c r="L1463" i="1"/>
  <c r="M1463" i="1" s="1"/>
  <c r="L1464" i="1"/>
  <c r="M1464" i="1" s="1"/>
  <c r="L1465" i="1"/>
  <c r="M1465" i="1" s="1"/>
  <c r="L1466" i="1"/>
  <c r="M1466" i="1" s="1"/>
  <c r="L1467" i="1"/>
  <c r="M1467" i="1" s="1"/>
  <c r="L1468" i="1"/>
  <c r="M1468" i="1" s="1"/>
  <c r="L1469" i="1"/>
  <c r="M1469" i="1" s="1"/>
  <c r="L1470" i="1"/>
  <c r="M1470" i="1" s="1"/>
  <c r="L1471" i="1"/>
  <c r="M1471" i="1" s="1"/>
  <c r="L1472" i="1"/>
  <c r="M1472" i="1" s="1"/>
  <c r="L1473" i="1"/>
  <c r="M1473" i="1" s="1"/>
  <c r="L1474" i="1"/>
  <c r="M1474" i="1" s="1"/>
  <c r="L1475" i="1"/>
  <c r="M1475" i="1" s="1"/>
  <c r="L1476" i="1"/>
  <c r="M1476" i="1" s="1"/>
  <c r="L1477" i="1"/>
  <c r="M1477" i="1" s="1"/>
  <c r="L1478" i="1"/>
  <c r="M1478" i="1" s="1"/>
  <c r="L1479" i="1"/>
  <c r="M1479" i="1" s="1"/>
  <c r="L1480" i="1"/>
  <c r="M1480" i="1" s="1"/>
  <c r="L1481" i="1"/>
  <c r="M1481" i="1" s="1"/>
  <c r="L1482" i="1"/>
  <c r="M1482" i="1" s="1"/>
  <c r="L1483" i="1"/>
  <c r="M1483" i="1" s="1"/>
  <c r="L1484" i="1"/>
  <c r="M1484" i="1" s="1"/>
  <c r="L1485" i="1"/>
  <c r="M1485" i="1" s="1"/>
  <c r="L1486" i="1"/>
  <c r="M1486" i="1" s="1"/>
  <c r="L1487" i="1"/>
  <c r="M1487" i="1" s="1"/>
  <c r="L1488" i="1"/>
  <c r="M1488" i="1" s="1"/>
  <c r="L1489" i="1"/>
  <c r="M1489" i="1" s="1"/>
  <c r="L1490" i="1"/>
  <c r="M1490" i="1" s="1"/>
  <c r="L1491" i="1"/>
  <c r="M1491" i="1" s="1"/>
  <c r="L1492" i="1"/>
  <c r="M1492" i="1" s="1"/>
  <c r="L1493" i="1"/>
  <c r="M1493" i="1" s="1"/>
  <c r="L1494" i="1"/>
  <c r="M1494" i="1" s="1"/>
  <c r="L1495" i="1"/>
  <c r="M1495" i="1" s="1"/>
  <c r="L1496" i="1"/>
  <c r="M1496" i="1" s="1"/>
  <c r="L1497" i="1"/>
  <c r="M1497" i="1" s="1"/>
  <c r="L1498" i="1"/>
  <c r="M1498" i="1" s="1"/>
  <c r="L1499" i="1"/>
  <c r="M1499" i="1" s="1"/>
  <c r="L1500" i="1"/>
  <c r="M1500" i="1" s="1"/>
  <c r="L1501" i="1"/>
  <c r="M1501" i="1" s="1"/>
  <c r="L1502" i="1"/>
  <c r="M1502" i="1" s="1"/>
  <c r="L1503" i="1"/>
  <c r="M1503" i="1" s="1"/>
  <c r="L1504" i="1"/>
  <c r="M1504" i="1" s="1"/>
  <c r="L1505" i="1"/>
  <c r="M1505" i="1" s="1"/>
  <c r="L1506" i="1"/>
  <c r="M1506" i="1" s="1"/>
  <c r="L1507" i="1"/>
  <c r="M1507" i="1" s="1"/>
  <c r="L1508" i="1"/>
  <c r="M1508" i="1" s="1"/>
  <c r="L1509" i="1"/>
  <c r="M1509" i="1" s="1"/>
  <c r="L1510" i="1"/>
  <c r="M1510" i="1" s="1"/>
  <c r="L1511" i="1"/>
  <c r="M1511" i="1" s="1"/>
  <c r="L1512" i="1"/>
  <c r="M1512" i="1" s="1"/>
  <c r="L1513" i="1"/>
  <c r="M1513" i="1" s="1"/>
  <c r="L1514" i="1"/>
  <c r="M1514" i="1" s="1"/>
  <c r="L1515" i="1"/>
  <c r="M1515" i="1" s="1"/>
  <c r="L1516" i="1"/>
  <c r="M1516" i="1" s="1"/>
  <c r="L1517" i="1"/>
  <c r="M1517" i="1" s="1"/>
  <c r="L1518" i="1"/>
  <c r="M1518" i="1" s="1"/>
  <c r="L1519" i="1"/>
  <c r="M1519" i="1" s="1"/>
  <c r="L1520" i="1"/>
  <c r="M1520" i="1" s="1"/>
  <c r="L1521" i="1"/>
  <c r="M1521" i="1" s="1"/>
  <c r="L1522" i="1"/>
  <c r="M1522" i="1" s="1"/>
  <c r="L1523" i="1"/>
  <c r="M1523" i="1" s="1"/>
  <c r="L1524" i="1"/>
  <c r="M1524" i="1" s="1"/>
  <c r="L1525" i="1"/>
  <c r="M1525" i="1" s="1"/>
  <c r="L1526" i="1"/>
  <c r="M1526" i="1" s="1"/>
  <c r="L1527" i="1"/>
  <c r="M1527" i="1" s="1"/>
  <c r="L1528" i="1"/>
  <c r="M1528" i="1" s="1"/>
  <c r="L1529" i="1"/>
  <c r="M1529" i="1" s="1"/>
  <c r="L1530" i="1"/>
  <c r="M1530" i="1" s="1"/>
  <c r="L1531" i="1"/>
  <c r="M1531" i="1" s="1"/>
  <c r="L1532" i="1"/>
  <c r="M1532" i="1" s="1"/>
  <c r="L1533" i="1"/>
  <c r="M1533" i="1" s="1"/>
  <c r="L1534" i="1"/>
  <c r="M1534" i="1" s="1"/>
  <c r="L1535" i="1"/>
  <c r="M1535" i="1" s="1"/>
  <c r="L1536" i="1"/>
  <c r="M1536" i="1" s="1"/>
  <c r="L1537" i="1"/>
  <c r="M1537" i="1" s="1"/>
  <c r="L1538" i="1"/>
  <c r="M1538" i="1" s="1"/>
  <c r="L1539" i="1"/>
  <c r="M1539" i="1" s="1"/>
  <c r="L1540" i="1"/>
  <c r="M1540" i="1" s="1"/>
  <c r="L1541" i="1"/>
  <c r="M1541" i="1" s="1"/>
  <c r="L1542" i="1"/>
  <c r="M1542" i="1" s="1"/>
  <c r="L1543" i="1"/>
  <c r="M1543" i="1" s="1"/>
  <c r="L1544" i="1"/>
  <c r="M1544" i="1" s="1"/>
  <c r="L1545" i="1"/>
  <c r="M1545" i="1" s="1"/>
  <c r="L1546" i="1"/>
  <c r="M1546" i="1" s="1"/>
  <c r="L1547" i="1"/>
  <c r="M1547" i="1" s="1"/>
  <c r="L1548" i="1"/>
  <c r="M1548" i="1" s="1"/>
  <c r="L1549" i="1"/>
  <c r="M1549" i="1" s="1"/>
  <c r="L1550" i="1"/>
  <c r="M1550" i="1" s="1"/>
  <c r="L1551" i="1"/>
  <c r="M1551" i="1" s="1"/>
  <c r="L1552" i="1"/>
  <c r="M1552" i="1" s="1"/>
  <c r="L1553" i="1"/>
  <c r="M1553" i="1" s="1"/>
  <c r="L1554" i="1"/>
  <c r="M1554" i="1" s="1"/>
  <c r="L1555" i="1"/>
  <c r="M1555" i="1" s="1"/>
  <c r="L1556" i="1"/>
  <c r="M1556" i="1" s="1"/>
  <c r="L1557" i="1"/>
  <c r="M1557" i="1" s="1"/>
  <c r="L1558" i="1"/>
  <c r="M1558" i="1" s="1"/>
  <c r="L1559" i="1"/>
  <c r="M1559" i="1" s="1"/>
  <c r="L1560" i="1"/>
  <c r="M1560" i="1" s="1"/>
  <c r="L1561" i="1"/>
  <c r="M1561" i="1" s="1"/>
  <c r="L1562" i="1"/>
  <c r="M1562" i="1" s="1"/>
  <c r="L1563" i="1"/>
  <c r="M1563" i="1" s="1"/>
  <c r="L1564" i="1"/>
  <c r="M1564" i="1" s="1"/>
  <c r="L1565" i="1"/>
  <c r="M1565" i="1" s="1"/>
  <c r="L1566" i="1"/>
  <c r="M1566" i="1" s="1"/>
  <c r="L1567" i="1"/>
  <c r="M1567" i="1" s="1"/>
  <c r="L1568" i="1"/>
  <c r="M1568" i="1" s="1"/>
  <c r="L1569" i="1"/>
  <c r="M1569" i="1" s="1"/>
  <c r="L1570" i="1"/>
  <c r="M1570" i="1" s="1"/>
  <c r="L1571" i="1"/>
  <c r="M1571" i="1" s="1"/>
  <c r="L1572" i="1"/>
  <c r="M1572" i="1" s="1"/>
  <c r="L1573" i="1"/>
  <c r="M1573" i="1" s="1"/>
  <c r="L1574" i="1"/>
  <c r="M1574" i="1" s="1"/>
  <c r="L1575" i="1"/>
  <c r="M1575" i="1" s="1"/>
  <c r="L1576" i="1"/>
  <c r="M1576" i="1" s="1"/>
  <c r="L1577" i="1"/>
  <c r="M1577" i="1" s="1"/>
  <c r="L1578" i="1"/>
  <c r="M1578" i="1" s="1"/>
  <c r="L1579" i="1"/>
  <c r="M1579" i="1" s="1"/>
  <c r="L1580" i="1"/>
  <c r="M1580" i="1" s="1"/>
  <c r="L1581" i="1"/>
  <c r="M1581" i="1" s="1"/>
  <c r="L1582" i="1"/>
  <c r="M1582" i="1" s="1"/>
  <c r="L1583" i="1"/>
  <c r="M1583" i="1" s="1"/>
  <c r="L1584" i="1"/>
  <c r="M1584" i="1" s="1"/>
  <c r="L1585" i="1"/>
  <c r="M1585" i="1" s="1"/>
  <c r="L1586" i="1"/>
  <c r="M1586" i="1" s="1"/>
  <c r="L1587" i="1"/>
  <c r="M1587" i="1" s="1"/>
  <c r="L1588" i="1"/>
  <c r="M1588" i="1" s="1"/>
  <c r="L1589" i="1"/>
  <c r="M1589" i="1" s="1"/>
  <c r="L1590" i="1"/>
  <c r="M1590" i="1" s="1"/>
  <c r="L1591" i="1"/>
  <c r="M1591" i="1" s="1"/>
  <c r="L1592" i="1"/>
  <c r="M1592" i="1" s="1"/>
  <c r="L1593" i="1"/>
  <c r="M1593" i="1" s="1"/>
  <c r="L1594" i="1"/>
  <c r="M1594" i="1" s="1"/>
  <c r="L1595" i="1"/>
  <c r="M1595" i="1" s="1"/>
  <c r="L1596" i="1"/>
  <c r="M1596" i="1" s="1"/>
  <c r="L1597" i="1"/>
  <c r="M1597" i="1" s="1"/>
  <c r="L1598" i="1"/>
  <c r="M1598" i="1" s="1"/>
  <c r="L1599" i="1"/>
  <c r="M1599" i="1" s="1"/>
  <c r="L1600" i="1"/>
  <c r="M1600" i="1" s="1"/>
  <c r="L1601" i="1"/>
  <c r="M1601" i="1" s="1"/>
  <c r="L1602" i="1"/>
  <c r="M1602" i="1" s="1"/>
  <c r="L1603" i="1"/>
  <c r="M1603" i="1" s="1"/>
  <c r="L1604" i="1"/>
  <c r="M1604" i="1" s="1"/>
  <c r="L1605" i="1"/>
  <c r="M1605" i="1" s="1"/>
  <c r="L1606" i="1"/>
  <c r="M1606" i="1" s="1"/>
  <c r="L1607" i="1"/>
  <c r="M1607" i="1" s="1"/>
  <c r="L1608" i="1"/>
  <c r="M1608" i="1" s="1"/>
  <c r="L1609" i="1"/>
  <c r="M1609" i="1" s="1"/>
  <c r="L1610" i="1"/>
  <c r="M1610" i="1" s="1"/>
  <c r="L1611" i="1"/>
  <c r="M1611" i="1" s="1"/>
  <c r="L1612" i="1"/>
  <c r="M1612" i="1" s="1"/>
  <c r="L1613" i="1"/>
  <c r="M1613" i="1" s="1"/>
  <c r="L1614" i="1"/>
  <c r="M1614" i="1" s="1"/>
  <c r="L1615" i="1"/>
  <c r="M1615" i="1" s="1"/>
  <c r="L1616" i="1"/>
  <c r="M1616" i="1" s="1"/>
  <c r="L1617" i="1"/>
  <c r="M1617" i="1" s="1"/>
  <c r="L1618" i="1"/>
  <c r="M1618" i="1" s="1"/>
  <c r="L1619" i="1"/>
  <c r="M1619" i="1" s="1"/>
  <c r="L1620" i="1"/>
  <c r="M1620" i="1" s="1"/>
  <c r="L1621" i="1"/>
  <c r="M1621" i="1" s="1"/>
  <c r="L1622" i="1"/>
  <c r="M1622" i="1" s="1"/>
  <c r="L1623" i="1"/>
  <c r="M1623" i="1" s="1"/>
  <c r="L1624" i="1"/>
  <c r="M1624" i="1" s="1"/>
  <c r="L1625" i="1"/>
  <c r="M1625" i="1" s="1"/>
  <c r="L1626" i="1"/>
  <c r="M1626" i="1" s="1"/>
  <c r="L1627" i="1"/>
  <c r="M1627" i="1" s="1"/>
  <c r="L1628" i="1"/>
  <c r="M1628" i="1" s="1"/>
  <c r="L1629" i="1"/>
  <c r="M1629" i="1" s="1"/>
  <c r="L1630" i="1"/>
  <c r="M1630" i="1" s="1"/>
  <c r="L1631" i="1"/>
  <c r="M1631" i="1" s="1"/>
  <c r="L1632" i="1"/>
  <c r="M1632" i="1" s="1"/>
  <c r="L1633" i="1"/>
  <c r="M1633" i="1" s="1"/>
  <c r="L1634" i="1"/>
  <c r="M1634" i="1" s="1"/>
  <c r="L1635" i="1"/>
  <c r="M1635" i="1" s="1"/>
  <c r="L1636" i="1"/>
  <c r="M1636" i="1" s="1"/>
  <c r="L1637" i="1"/>
  <c r="M1637" i="1" s="1"/>
  <c r="L1638" i="1"/>
  <c r="M1638" i="1" s="1"/>
  <c r="L1639" i="1"/>
  <c r="M1639" i="1" s="1"/>
  <c r="L1640" i="1"/>
  <c r="M1640" i="1" s="1"/>
  <c r="L1641" i="1"/>
  <c r="M1641" i="1" s="1"/>
  <c r="L1642" i="1"/>
  <c r="M1642" i="1" s="1"/>
  <c r="L1643" i="1"/>
  <c r="M1643" i="1" s="1"/>
  <c r="L1644" i="1"/>
  <c r="M1644" i="1" s="1"/>
  <c r="L1645" i="1"/>
  <c r="M1645" i="1" s="1"/>
  <c r="L1646" i="1"/>
  <c r="M1646" i="1" s="1"/>
  <c r="L1647" i="1"/>
  <c r="M1647" i="1" s="1"/>
  <c r="L1648" i="1"/>
  <c r="M1648" i="1" s="1"/>
  <c r="L1649" i="1"/>
  <c r="M1649" i="1" s="1"/>
  <c r="L1650" i="1"/>
  <c r="M1650" i="1" s="1"/>
  <c r="L1651" i="1"/>
  <c r="M1651" i="1" s="1"/>
  <c r="L1652" i="1"/>
  <c r="M1652" i="1" s="1"/>
  <c r="L1653" i="1"/>
  <c r="M1653" i="1" s="1"/>
  <c r="L1654" i="1"/>
  <c r="M1654" i="1" s="1"/>
  <c r="L1655" i="1"/>
  <c r="M1655" i="1" s="1"/>
  <c r="L1656" i="1"/>
  <c r="M1656" i="1" s="1"/>
  <c r="L1657" i="1"/>
  <c r="M1657" i="1" s="1"/>
  <c r="L1658" i="1"/>
  <c r="M1658" i="1" s="1"/>
  <c r="L1659" i="1"/>
  <c r="M1659" i="1" s="1"/>
  <c r="L1660" i="1"/>
  <c r="M1660" i="1" s="1"/>
  <c r="L1661" i="1"/>
  <c r="M1661" i="1" s="1"/>
  <c r="L1662" i="1"/>
  <c r="M1662" i="1" s="1"/>
  <c r="L1663" i="1"/>
  <c r="M1663" i="1" s="1"/>
  <c r="L1664" i="1"/>
  <c r="M1664" i="1" s="1"/>
  <c r="L1665" i="1"/>
  <c r="M1665" i="1" s="1"/>
  <c r="L1666" i="1"/>
  <c r="M1666" i="1" s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</calcChain>
</file>

<file path=xl/sharedStrings.xml><?xml version="1.0" encoding="utf-8"?>
<sst xmlns="http://schemas.openxmlformats.org/spreadsheetml/2006/main" count="8338" uniqueCount="4478">
  <si>
    <t>code</t>
  </si>
  <si>
    <t>name</t>
  </si>
  <si>
    <t>description</t>
  </si>
  <si>
    <t>product_category_id</t>
  </si>
  <si>
    <t>brand_id</t>
  </si>
  <si>
    <t>unit_measurement_id</t>
  </si>
  <si>
    <t>ap_class_article_id</t>
  </si>
  <si>
    <t>10/BP</t>
  </si>
  <si>
    <t>6/D213</t>
  </si>
  <si>
    <t>6/G215</t>
  </si>
  <si>
    <t>10/10061</t>
  </si>
  <si>
    <t>10/10084</t>
  </si>
  <si>
    <t>10/21601</t>
  </si>
  <si>
    <t>10/30366</t>
  </si>
  <si>
    <t>10/40518</t>
  </si>
  <si>
    <t>3/194761</t>
  </si>
  <si>
    <t>5/32008X</t>
  </si>
  <si>
    <t>8/910436</t>
  </si>
  <si>
    <t>8/917111</t>
  </si>
  <si>
    <t>8/917177</t>
  </si>
  <si>
    <t>9/913191</t>
  </si>
  <si>
    <t>9/913196</t>
  </si>
  <si>
    <t>9/916600</t>
  </si>
  <si>
    <t>9/916841</t>
  </si>
  <si>
    <t>9/917232</t>
  </si>
  <si>
    <t>10/033011</t>
  </si>
  <si>
    <t>10/033012</t>
  </si>
  <si>
    <t>10/10022P</t>
  </si>
  <si>
    <t>10/10055P</t>
  </si>
  <si>
    <t>10/108011</t>
  </si>
  <si>
    <t>10/311044</t>
  </si>
  <si>
    <t>10/650976</t>
  </si>
  <si>
    <t>10/651616</t>
  </si>
  <si>
    <t>10/651705</t>
  </si>
  <si>
    <t>10/892333</t>
  </si>
  <si>
    <t>10/A10037</t>
  </si>
  <si>
    <t>10/CC2826</t>
  </si>
  <si>
    <t>2/KITSEG2</t>
  </si>
  <si>
    <t>3/6000841</t>
  </si>
  <si>
    <t>5/9100705</t>
  </si>
  <si>
    <t>5/9100769</t>
  </si>
  <si>
    <t>5/9101025</t>
  </si>
  <si>
    <t>59/016488</t>
  </si>
  <si>
    <t>59/031132</t>
  </si>
  <si>
    <t>59/031138</t>
  </si>
  <si>
    <t>59/031340</t>
  </si>
  <si>
    <t>59/0816F6</t>
  </si>
  <si>
    <t>59/1109AL</t>
  </si>
  <si>
    <t>59/1109AY</t>
  </si>
  <si>
    <t>59/1444TT</t>
  </si>
  <si>
    <t>59/1444TV</t>
  </si>
  <si>
    <t>59/1444VH</t>
  </si>
  <si>
    <t>59/1444VK</t>
  </si>
  <si>
    <t>59/1444XG</t>
  </si>
  <si>
    <t>59/1618HR</t>
  </si>
  <si>
    <t>59/1806A6</t>
  </si>
  <si>
    <t>59/4249K1</t>
  </si>
  <si>
    <t>59/4254C0</t>
  </si>
  <si>
    <t>59/4402F8</t>
  </si>
  <si>
    <t>59/5750ZH</t>
  </si>
  <si>
    <t>59/5960E6</t>
  </si>
  <si>
    <t>59/5960L5</t>
  </si>
  <si>
    <t>59/6447XG</t>
  </si>
  <si>
    <t>59/6479C2</t>
  </si>
  <si>
    <t>59/6479C9</t>
  </si>
  <si>
    <t>59/9734R7</t>
  </si>
  <si>
    <t>6/LONAJAC</t>
  </si>
  <si>
    <t>6/Y003110</t>
  </si>
  <si>
    <t>6/Y041060</t>
  </si>
  <si>
    <t>7/SHA3211</t>
  </si>
  <si>
    <t>10/6000610</t>
  </si>
  <si>
    <t>10/6000621</t>
  </si>
  <si>
    <t>10/6000624</t>
  </si>
  <si>
    <t>10/6000690</t>
  </si>
  <si>
    <t>10/6000691</t>
  </si>
  <si>
    <t>10/6000692</t>
  </si>
  <si>
    <t>10/6000699</t>
  </si>
  <si>
    <t>10/6001031</t>
  </si>
  <si>
    <t>10/6001043</t>
  </si>
  <si>
    <t>10/6001045</t>
  </si>
  <si>
    <t>10/6005024</t>
  </si>
  <si>
    <t>10/BASECAM</t>
  </si>
  <si>
    <t>10/FOCOR5W</t>
  </si>
  <si>
    <t>10/LM1976D</t>
  </si>
  <si>
    <t>10/MAQ059L</t>
  </si>
  <si>
    <t>11/FS20217</t>
  </si>
  <si>
    <t>11/SHA3211</t>
  </si>
  <si>
    <t>6/BG109020</t>
  </si>
  <si>
    <t>6/K0021600</t>
  </si>
  <si>
    <t>6/K0032300</t>
  </si>
  <si>
    <t>6/K0050702</t>
  </si>
  <si>
    <t>6/K0051500</t>
  </si>
  <si>
    <t>7/A01P2010</t>
  </si>
  <si>
    <t>7/C3908616</t>
  </si>
  <si>
    <t>7/S380W001</t>
  </si>
  <si>
    <t>1/KITSEGERT</t>
  </si>
  <si>
    <t>10/5262311L</t>
  </si>
  <si>
    <t>10/5266016F</t>
  </si>
  <si>
    <t>10/60032RC3</t>
  </si>
  <si>
    <t>10/DC911768</t>
  </si>
  <si>
    <t>10/DC914470</t>
  </si>
  <si>
    <t>10/DP535638</t>
  </si>
  <si>
    <t>10/DPKS0943</t>
  </si>
  <si>
    <t>10/KITSEGDS</t>
  </si>
  <si>
    <t>10/LUBULT01</t>
  </si>
  <si>
    <t>10/LUBULT04</t>
  </si>
  <si>
    <t>10/LUBULT05</t>
  </si>
  <si>
    <t>10/LUBULT07</t>
  </si>
  <si>
    <t>10/LUBULT08</t>
  </si>
  <si>
    <t>10/LUBULT10</t>
  </si>
  <si>
    <t>10/LUBULT11</t>
  </si>
  <si>
    <t>10/LUBULT15</t>
  </si>
  <si>
    <t>10/LUBULT16</t>
  </si>
  <si>
    <t>10/LUBULT17</t>
  </si>
  <si>
    <t>10/LUBULT18</t>
  </si>
  <si>
    <t>10/LUBULT26</t>
  </si>
  <si>
    <t>10/LUBULT30</t>
  </si>
  <si>
    <t>10/LUBULT32</t>
  </si>
  <si>
    <t>10/MF55D23L</t>
  </si>
  <si>
    <t>10/PREST48Z</t>
  </si>
  <si>
    <t>11/5262311L</t>
  </si>
  <si>
    <t>2/1D001518X</t>
  </si>
  <si>
    <t>2/1D001518Y</t>
  </si>
  <si>
    <t>2/1D0018221</t>
  </si>
  <si>
    <t>2/1D0027YA4</t>
  </si>
  <si>
    <t>2/1D006124Y</t>
  </si>
  <si>
    <t>2/1D011518Y</t>
  </si>
  <si>
    <t>2/1D0115YG0</t>
  </si>
  <si>
    <t>2/1D021518X</t>
  </si>
  <si>
    <t>2/1D0216510</t>
  </si>
  <si>
    <t>2/1D0415260</t>
  </si>
  <si>
    <t>2/1D0434210</t>
  </si>
  <si>
    <t>2/1D0434260</t>
  </si>
  <si>
    <t>2/1D0534300</t>
  </si>
  <si>
    <t>2/1D0615940</t>
  </si>
  <si>
    <t>2/1K0010403</t>
  </si>
  <si>
    <t>2/1K0033692</t>
  </si>
  <si>
    <t>2/1K0110404</t>
  </si>
  <si>
    <t>2/1K0110595</t>
  </si>
  <si>
    <t>2/1K011598X</t>
  </si>
  <si>
    <t>2/1K016529Y</t>
  </si>
  <si>
    <t>2/1K0216222</t>
  </si>
  <si>
    <t>2/1K0361148</t>
  </si>
  <si>
    <t>2/1K0364416</t>
  </si>
  <si>
    <t>2/1K0437190</t>
  </si>
  <si>
    <t>2/1K0461148</t>
  </si>
  <si>
    <t>2/1K0533022</t>
  </si>
  <si>
    <t>2/1K0615171</t>
  </si>
  <si>
    <t>2/1K0623802</t>
  </si>
  <si>
    <t>2/1K0633694</t>
  </si>
  <si>
    <t>2/1K0649240</t>
  </si>
  <si>
    <t>2/1K0710235</t>
  </si>
  <si>
    <t>2/1K0916410</t>
  </si>
  <si>
    <t>2/1K0934151</t>
  </si>
  <si>
    <t>2/1K0934156</t>
  </si>
  <si>
    <t>2/1K0A15940</t>
  </si>
  <si>
    <t>2/1K0A23603</t>
  </si>
  <si>
    <t>2/1K0B26251</t>
  </si>
  <si>
    <t>2/1K0B33699</t>
  </si>
  <si>
    <t>2/1K0C23570</t>
  </si>
  <si>
    <t>2/1K0G16460</t>
  </si>
  <si>
    <t>2/1K0L33980</t>
  </si>
  <si>
    <t>2/1K0M18381</t>
  </si>
  <si>
    <t>2/1K0M33257</t>
  </si>
  <si>
    <t>2/1K0M33980</t>
  </si>
  <si>
    <t>2/1K0N34211</t>
  </si>
  <si>
    <t>2/1K0P34211</t>
  </si>
  <si>
    <t>2/1K0P51120</t>
  </si>
  <si>
    <t>2/1K0R3323Z</t>
  </si>
  <si>
    <t>2/1K0Z18381</t>
  </si>
  <si>
    <t>2/1K1328700</t>
  </si>
  <si>
    <t>2/1K1334310</t>
  </si>
  <si>
    <t>2/1K1434310</t>
  </si>
  <si>
    <t>2/1K1C34700</t>
  </si>
  <si>
    <t>2/1WA013ZA5</t>
  </si>
  <si>
    <t>2/1WA014302</t>
  </si>
  <si>
    <t>2/B4YB3323Z</t>
  </si>
  <si>
    <t>2/BBM461J6X</t>
  </si>
  <si>
    <t>2/BDGF61J6X</t>
  </si>
  <si>
    <t>2/BEET33251</t>
  </si>
  <si>
    <t>2/CY0110404</t>
  </si>
  <si>
    <t>2/D09W61J6X</t>
  </si>
  <si>
    <t>2/D10E26251</t>
  </si>
  <si>
    <t>2/D5YG3328Z</t>
  </si>
  <si>
    <t>2/DA6A34380</t>
  </si>
  <si>
    <t>2/DAY076220</t>
  </si>
  <si>
    <t>2/DF7126610</t>
  </si>
  <si>
    <t>2/DFR534700</t>
  </si>
  <si>
    <t>2/DFR534900</t>
  </si>
  <si>
    <t>2/DHYG2643Z</t>
  </si>
  <si>
    <t>2/DL8V34700</t>
  </si>
  <si>
    <t>2/DL8V34900</t>
  </si>
  <si>
    <t>2/FOCOAMBAR</t>
  </si>
  <si>
    <t>2/FS5021249</t>
  </si>
  <si>
    <t>2/H30118110</t>
  </si>
  <si>
    <t>2/H50117103</t>
  </si>
  <si>
    <t>2/K1YT2643Z</t>
  </si>
  <si>
    <t>2/K1YT3328Z</t>
  </si>
  <si>
    <t>2/K2YF2643Z</t>
  </si>
  <si>
    <t>2/KA0127238</t>
  </si>
  <si>
    <t>2/KB8C64393</t>
  </si>
  <si>
    <t>2/KD2W67330</t>
  </si>
  <si>
    <t>2/KD3132280</t>
  </si>
  <si>
    <t>2/KD4533251</t>
  </si>
  <si>
    <t>2/KD4561J6X</t>
  </si>
  <si>
    <t>2/KR9P61J6X</t>
  </si>
  <si>
    <t>2/KSL434900</t>
  </si>
  <si>
    <t>2/L2Y661P11</t>
  </si>
  <si>
    <t>2/LF0116510</t>
  </si>
  <si>
    <t>2/P501133A0</t>
  </si>
  <si>
    <t>2/P51R18100</t>
  </si>
  <si>
    <t>2/P51T188G1</t>
  </si>
  <si>
    <t>2/P5PS1886Z</t>
  </si>
  <si>
    <t>2/P5RV18881</t>
  </si>
  <si>
    <t>2/PE0113150</t>
  </si>
  <si>
    <t>2/PE0113890</t>
  </si>
  <si>
    <t>2/PE0115908</t>
  </si>
  <si>
    <t>2/PE0116460</t>
  </si>
  <si>
    <t>2/PE0118221</t>
  </si>
  <si>
    <t>2/PEAR133A0</t>
  </si>
  <si>
    <t>2/PEHH133A0</t>
  </si>
  <si>
    <t>2/PXFV133A0</t>
  </si>
  <si>
    <t>2/PXPP13ZE0</t>
  </si>
  <si>
    <t>2/PY8V18110</t>
  </si>
  <si>
    <t>2/PY8W133A0</t>
  </si>
  <si>
    <t>2/PY8W14302</t>
  </si>
  <si>
    <t>2/RF4F13Z40</t>
  </si>
  <si>
    <t>2/TAY03328Z</t>
  </si>
  <si>
    <t>2/TK2150355</t>
  </si>
  <si>
    <t>2/TK4861J6X</t>
  </si>
  <si>
    <t>2/U20111303</t>
  </si>
  <si>
    <t>2/U2Y010YA0</t>
  </si>
  <si>
    <t>2/U6A116103</t>
  </si>
  <si>
    <t>2/UC2R26610</t>
  </si>
  <si>
    <t>2/UC9P51074</t>
  </si>
  <si>
    <t>2/UC9P51094</t>
  </si>
  <si>
    <t>2/UCYE3323Z</t>
  </si>
  <si>
    <t>2/UCYR2638Z</t>
  </si>
  <si>
    <t>2/UH0112613</t>
  </si>
  <si>
    <t>2/UH0212201</t>
  </si>
  <si>
    <t>2/UH0212700</t>
  </si>
  <si>
    <t>2/UH0412614</t>
  </si>
  <si>
    <t>2/UH7134136</t>
  </si>
  <si>
    <t>2/UH71510A1</t>
  </si>
  <si>
    <t>2/UHY12638Z</t>
  </si>
  <si>
    <t>2/UKY015908</t>
  </si>
  <si>
    <t>2/W90112700</t>
  </si>
  <si>
    <t>2/YF091046Y</t>
  </si>
  <si>
    <t>2/YF09104J5</t>
  </si>
  <si>
    <t>2/Z6E6133A0</t>
  </si>
  <si>
    <t>2/ZRB1W0GC0</t>
  </si>
  <si>
    <t>2/ZRC1W0GE0</t>
  </si>
  <si>
    <t>3/254558746</t>
  </si>
  <si>
    <t>5/12JB98277</t>
  </si>
  <si>
    <t>5/SMD115976</t>
  </si>
  <si>
    <t>5/SMD132260</t>
  </si>
  <si>
    <t>5/SMD182294</t>
  </si>
  <si>
    <t>5/SMD186125</t>
  </si>
  <si>
    <t>5/SMN158596</t>
  </si>
  <si>
    <t>5/SMW253694</t>
  </si>
  <si>
    <t>5/XAA32009X</t>
  </si>
  <si>
    <t>58/KITSEGH1</t>
  </si>
  <si>
    <t>59/KITSEGC4</t>
  </si>
  <si>
    <t>6/DA0070900</t>
  </si>
  <si>
    <t>6/DA0100400</t>
  </si>
  <si>
    <t>6/DA0130400</t>
  </si>
  <si>
    <t>6/DA0181200</t>
  </si>
  <si>
    <t>6/DA0280400</t>
  </si>
  <si>
    <t>6/DA0360200</t>
  </si>
  <si>
    <t>6/EA0101200</t>
  </si>
  <si>
    <t>6/EA0120400</t>
  </si>
  <si>
    <t>6/EA0121600</t>
  </si>
  <si>
    <t>6/KITSEGM90</t>
  </si>
  <si>
    <t>6/Y016050RL</t>
  </si>
  <si>
    <t>7/1002017FB</t>
  </si>
  <si>
    <t>7/1003037GA</t>
  </si>
  <si>
    <t>7/1003040FB</t>
  </si>
  <si>
    <t>7/1010210GA</t>
  </si>
  <si>
    <t>7/1015404GA</t>
  </si>
  <si>
    <t>7/1023609GA</t>
  </si>
  <si>
    <t>7/1023611GA</t>
  </si>
  <si>
    <t>7/1027305GA</t>
  </si>
  <si>
    <t>7/C5300515L</t>
  </si>
  <si>
    <t>7/KITMANTT8</t>
  </si>
  <si>
    <t>7/KITSEGJS3</t>
  </si>
  <si>
    <t>7/KITSEGJS4</t>
  </si>
  <si>
    <t>7/KITSEGJS8</t>
  </si>
  <si>
    <t>9/100005306</t>
  </si>
  <si>
    <t>9/100007470</t>
  </si>
  <si>
    <t>9/100013768</t>
  </si>
  <si>
    <t>9/100018762</t>
  </si>
  <si>
    <t>9/100024378</t>
  </si>
  <si>
    <t>9/100025061</t>
  </si>
  <si>
    <t>9/100032834</t>
  </si>
  <si>
    <t>9/100037464</t>
  </si>
  <si>
    <t>1/1276167J00</t>
  </si>
  <si>
    <t>1/1378063J00</t>
  </si>
  <si>
    <t>1/2326581A20</t>
  </si>
  <si>
    <t>1/4918150J40</t>
  </si>
  <si>
    <t>1/5320081A11</t>
  </si>
  <si>
    <t>1/5520065D21</t>
  </si>
  <si>
    <t>1/5520650J00</t>
  </si>
  <si>
    <t>1/9514161J00</t>
  </si>
  <si>
    <t>1/9586063J10</t>
  </si>
  <si>
    <t>10/151100002</t>
  </si>
  <si>
    <t>10/161517000</t>
  </si>
  <si>
    <t>10/236000154</t>
  </si>
  <si>
    <t>10/278205300</t>
  </si>
  <si>
    <t>10/278208300</t>
  </si>
  <si>
    <t>10/463057000</t>
  </si>
  <si>
    <t>10/616483000</t>
  </si>
  <si>
    <t>10/620700707</t>
  </si>
  <si>
    <t>10/620700778</t>
  </si>
  <si>
    <t>10/674072000</t>
  </si>
  <si>
    <t>10/674081001</t>
  </si>
  <si>
    <t>10/674224000</t>
  </si>
  <si>
    <t>10/674493000</t>
  </si>
  <si>
    <t>10/680000318</t>
  </si>
  <si>
    <t>10/A04PZD-M1</t>
  </si>
  <si>
    <t>10/C4989106L</t>
  </si>
  <si>
    <t>10/KITSEGCX3</t>
  </si>
  <si>
    <t>10/KITSEGJS2</t>
  </si>
  <si>
    <t>10/KITSEGJS4</t>
  </si>
  <si>
    <t>10/KITSEGJS6</t>
  </si>
  <si>
    <t>10/LUBFREN04</t>
  </si>
  <si>
    <t>10/PM-9CFSFS</t>
  </si>
  <si>
    <t>10/Q40310DRL</t>
  </si>
  <si>
    <t>10/Q40312DRL</t>
  </si>
  <si>
    <t>10/TER651107</t>
  </si>
  <si>
    <t>10/TTL213822</t>
  </si>
  <si>
    <t>10/TTL214028</t>
  </si>
  <si>
    <t>11/1010301FA</t>
  </si>
  <si>
    <t>11/C4897898L</t>
  </si>
  <si>
    <t>11/LM-3534NL</t>
  </si>
  <si>
    <t>2/1D0015380C</t>
  </si>
  <si>
    <t>2/1D0125100A</t>
  </si>
  <si>
    <t>2/B45A33251A</t>
  </si>
  <si>
    <t>2/B45A3438XA</t>
  </si>
  <si>
    <t>2/B45G26251B</t>
  </si>
  <si>
    <t>2/B6Y114302A</t>
  </si>
  <si>
    <t>2/B6YS3328ZB</t>
  </si>
  <si>
    <t>2/BABD684L1A</t>
  </si>
  <si>
    <t>2/BCYA2643ZB</t>
  </si>
  <si>
    <t>2/BJY72648ZA</t>
  </si>
  <si>
    <t>2/BJY73328ZA</t>
  </si>
  <si>
    <t>2/BLD451160A</t>
  </si>
  <si>
    <t>2/BN7N66490A</t>
  </si>
  <si>
    <t>2/BP4L32682B</t>
  </si>
  <si>
    <t>2/C2Y32648ZA</t>
  </si>
  <si>
    <t>2/CA0214302A</t>
  </si>
  <si>
    <t>2/CY0113Z40A</t>
  </si>
  <si>
    <t>2/D0YN3328ZB</t>
  </si>
  <si>
    <t>2/D10E340A3C</t>
  </si>
  <si>
    <t>2/D2Y12643ZA</t>
  </si>
  <si>
    <t>2/D4YS3328ZA</t>
  </si>
  <si>
    <t>2/D54E28700B</t>
  </si>
  <si>
    <t>2/DAY32648ZA</t>
  </si>
  <si>
    <t>2/DAY32648ZB</t>
  </si>
  <si>
    <t>2/DB7C28700C</t>
  </si>
  <si>
    <t>2/DD1V28700G</t>
  </si>
  <si>
    <t>2/DFR550ES1A</t>
  </si>
  <si>
    <t>2/DFR551W20C</t>
  </si>
  <si>
    <t>2/DFZ52643ZB</t>
  </si>
  <si>
    <t>2/DH2E28910C</t>
  </si>
  <si>
    <t>2/DH2E34700A</t>
  </si>
  <si>
    <t>2/DH2E34900A</t>
  </si>
  <si>
    <t>2/DK5151270B</t>
  </si>
  <si>
    <t>2/K01126251C</t>
  </si>
  <si>
    <t>2/K01133251B</t>
  </si>
  <si>
    <t>2/K020W0052E</t>
  </si>
  <si>
    <t>2/K020W0053E</t>
  </si>
  <si>
    <t>2/K0Y12648ZC</t>
  </si>
  <si>
    <t>2/K0Y13328ZB</t>
  </si>
  <si>
    <t>2/KA0G34300J</t>
  </si>
  <si>
    <t>2/KA0G34350J</t>
  </si>
  <si>
    <t>2/KA0H51684A</t>
  </si>
  <si>
    <t>2/KA0T34700A</t>
  </si>
  <si>
    <t>2/KA0T34900A</t>
  </si>
  <si>
    <t>2/KAY02648ZA</t>
  </si>
  <si>
    <t>2/KB7W51W50F</t>
  </si>
  <si>
    <t>2/KB7W67330B</t>
  </si>
  <si>
    <t>2/KD3534350S</t>
  </si>
  <si>
    <t>2/KD5350660B</t>
  </si>
  <si>
    <t>2/KD5356031A</t>
  </si>
  <si>
    <t>2/KD6134156F</t>
  </si>
  <si>
    <t>2/KITSEGCX60</t>
  </si>
  <si>
    <t>2/KITSEGCX90</t>
  </si>
  <si>
    <t>2/KITSEGM3HB</t>
  </si>
  <si>
    <t>2/L2Y72648ZA</t>
  </si>
  <si>
    <t>2/L2Y82643ZC</t>
  </si>
  <si>
    <t>2/LFHH20490A</t>
  </si>
  <si>
    <t>2/PAF11518XA</t>
  </si>
  <si>
    <t>2/PAH9133A0A</t>
  </si>
  <si>
    <t>2/PE0115355B</t>
  </si>
  <si>
    <t>2/PE0116410A</t>
  </si>
  <si>
    <t>2/PE01188G1A</t>
  </si>
  <si>
    <t>2/PE0315980C</t>
  </si>
  <si>
    <t>2/PE0815909C</t>
  </si>
  <si>
    <t>2/PE5R18110A</t>
  </si>
  <si>
    <t>2/SH0114302A</t>
  </si>
  <si>
    <t>2/TA0N51041C</t>
  </si>
  <si>
    <t>2/TC3M34300A</t>
  </si>
  <si>
    <t>2/TC3M34350A</t>
  </si>
  <si>
    <t>2/TK7826251A</t>
  </si>
  <si>
    <t>2/TK7833251B</t>
  </si>
  <si>
    <t>2/TKY82648ZB</t>
  </si>
  <si>
    <t>2/TKY83328ZB</t>
  </si>
  <si>
    <t>2/TN3967Z32A</t>
  </si>
  <si>
    <t>2/U2Y013Z40A</t>
  </si>
  <si>
    <t>2/UC2B33251B</t>
  </si>
  <si>
    <t>2/UC2B513F0A</t>
  </si>
  <si>
    <t>2/UC2H66223A</t>
  </si>
  <si>
    <t>2/UC2L6635YB</t>
  </si>
  <si>
    <t>2/UC2R34110B</t>
  </si>
  <si>
    <t>2/UH0116490A</t>
  </si>
  <si>
    <t>2/UH7426251C</t>
  </si>
  <si>
    <t>2/UR5658310C</t>
  </si>
  <si>
    <t>2/UR5665710B</t>
  </si>
  <si>
    <t>2/UR5665720B</t>
  </si>
  <si>
    <t>2/UR6372560A</t>
  </si>
  <si>
    <t>2/UR6373310B</t>
  </si>
  <si>
    <t>3/01125N8061</t>
  </si>
  <si>
    <t>3/101013014R</t>
  </si>
  <si>
    <t>3/1102601M02</t>
  </si>
  <si>
    <t>3/110265505R</t>
  </si>
  <si>
    <t>3/117201773R</t>
  </si>
  <si>
    <t>3/117205123R</t>
  </si>
  <si>
    <t>3/117205678R</t>
  </si>
  <si>
    <t>3/117206746R</t>
  </si>
  <si>
    <t>3/117208023R</t>
  </si>
  <si>
    <t>3/117209708R</t>
  </si>
  <si>
    <t>3/117209732R</t>
  </si>
  <si>
    <t>3/118105H71A</t>
  </si>
  <si>
    <t>3/119203960R</t>
  </si>
  <si>
    <t>3/130C11551R</t>
  </si>
  <si>
    <t>3/130C13538R</t>
  </si>
  <si>
    <t>3/130C17529R</t>
  </si>
  <si>
    <t>3/135101KT0A</t>
  </si>
  <si>
    <t>3/152085758R</t>
  </si>
  <si>
    <t>3/152088127R</t>
  </si>
  <si>
    <t>3/15208BN30A</t>
  </si>
  <si>
    <t>3/152093920R</t>
  </si>
  <si>
    <t>3/152095084R</t>
  </si>
  <si>
    <t>3/164039587R</t>
  </si>
  <si>
    <t>3/1654630P00</t>
  </si>
  <si>
    <t>3/165465171R</t>
  </si>
  <si>
    <t>3/165466859R</t>
  </si>
  <si>
    <t>3/165467033R</t>
  </si>
  <si>
    <t>3/165467674R</t>
  </si>
  <si>
    <t>3/165467751R</t>
  </si>
  <si>
    <t>3/165467753R</t>
  </si>
  <si>
    <t>3/165469466R</t>
  </si>
  <si>
    <t>3/165469905R</t>
  </si>
  <si>
    <t>3/215062710R</t>
  </si>
  <si>
    <t>3/224017628R</t>
  </si>
  <si>
    <t>3/224018760R</t>
  </si>
  <si>
    <t>3/224019185R</t>
  </si>
  <si>
    <t>3/224019372R</t>
  </si>
  <si>
    <t>3/22401ED71B</t>
  </si>
  <si>
    <t>3/272770840R</t>
  </si>
  <si>
    <t>3/272772132R</t>
  </si>
  <si>
    <t>3/272772520R</t>
  </si>
  <si>
    <t>3/272773223R</t>
  </si>
  <si>
    <t>3/272774072R</t>
  </si>
  <si>
    <t>3/272775JJ0A</t>
  </si>
  <si>
    <t>3/272779203R</t>
  </si>
  <si>
    <t>3/272779698R</t>
  </si>
  <si>
    <t>3/285976230R</t>
  </si>
  <si>
    <t>3/322033100R</t>
  </si>
  <si>
    <t>3/364002480R</t>
  </si>
  <si>
    <t>3/383423705R</t>
  </si>
  <si>
    <t>3/402063140R</t>
  </si>
  <si>
    <t>3/402063149R</t>
  </si>
  <si>
    <t>3/402067902R</t>
  </si>
  <si>
    <t>3/402107387R</t>
  </si>
  <si>
    <t>3/410600222R</t>
  </si>
  <si>
    <t>3/410601408R</t>
  </si>
  <si>
    <t>3/410602192R</t>
  </si>
  <si>
    <t>3/410602581R</t>
  </si>
  <si>
    <t>3/410602596R</t>
  </si>
  <si>
    <t>3/410602889R</t>
  </si>
  <si>
    <t>3/410603072R</t>
  </si>
  <si>
    <t>3/410604979R</t>
  </si>
  <si>
    <t>3/410606820R</t>
  </si>
  <si>
    <t>3/410608481R</t>
  </si>
  <si>
    <t>3/440604591R</t>
  </si>
  <si>
    <t>3/440605238R</t>
  </si>
  <si>
    <t>3/497218897R</t>
  </si>
  <si>
    <t>3/497506724R</t>
  </si>
  <si>
    <t>3/543027236R</t>
  </si>
  <si>
    <t>3/543028126R</t>
  </si>
  <si>
    <t>3/543029110R</t>
  </si>
  <si>
    <t>3/562100449R</t>
  </si>
  <si>
    <t>3/562105043R</t>
  </si>
  <si>
    <t>3/562109279R</t>
  </si>
  <si>
    <t>3/620876120R</t>
  </si>
  <si>
    <t>3/623100754R</t>
  </si>
  <si>
    <t>3/631019761R</t>
  </si>
  <si>
    <t>3/638135919R</t>
  </si>
  <si>
    <t>3/656019855R</t>
  </si>
  <si>
    <t>3/658406210R</t>
  </si>
  <si>
    <t>3/764362537R</t>
  </si>
  <si>
    <t>3/7700103245</t>
  </si>
  <si>
    <t>3/7700106271</t>
  </si>
  <si>
    <t>3/7700106385</t>
  </si>
  <si>
    <t>3/7700274026</t>
  </si>
  <si>
    <t>3/7700500155</t>
  </si>
  <si>
    <t>3/7700500168</t>
  </si>
  <si>
    <t>3/7701069212</t>
  </si>
  <si>
    <t>3/7701210109</t>
  </si>
  <si>
    <t>3/7701476645</t>
  </si>
  <si>
    <t>3/7701477024</t>
  </si>
  <si>
    <t>3/7703002949</t>
  </si>
  <si>
    <t>3/7703034250</t>
  </si>
  <si>
    <t>3/7703083469</t>
  </si>
  <si>
    <t>3/7711945906</t>
  </si>
  <si>
    <t>3/7711946171</t>
  </si>
  <si>
    <t>3/8200052312</t>
  </si>
  <si>
    <t>3/8200276360</t>
  </si>
  <si>
    <t>3/8200386495</t>
  </si>
  <si>
    <t>3/8200431051</t>
  </si>
  <si>
    <t>3/8200557644</t>
  </si>
  <si>
    <t>3/8200772985</t>
  </si>
  <si>
    <t>3/8201153808</t>
  </si>
  <si>
    <t>3/8201666465</t>
  </si>
  <si>
    <t>3/8201666468</t>
  </si>
  <si>
    <t>3/8201676037</t>
  </si>
  <si>
    <t>3/850443729R</t>
  </si>
  <si>
    <t>3/8550503619</t>
  </si>
  <si>
    <t>3/924401309R</t>
  </si>
  <si>
    <t>3/990B82370R</t>
  </si>
  <si>
    <t>3/KITSEGKWID</t>
  </si>
  <si>
    <t>5/1002250E06</t>
  </si>
  <si>
    <t>5/1002350E06</t>
  </si>
  <si>
    <t>5/1002460E02</t>
  </si>
  <si>
    <t>5/1003012E00</t>
  </si>
  <si>
    <t>5/1006060E06</t>
  </si>
  <si>
    <t>5/1012020E00</t>
  </si>
  <si>
    <t>5/1105010D01</t>
  </si>
  <si>
    <t>5/1105103P00</t>
  </si>
  <si>
    <t>5/1109101S16</t>
  </si>
  <si>
    <t>5/1109102K00</t>
  </si>
  <si>
    <t>5/1109110P64</t>
  </si>
  <si>
    <t>5/1117100V08</t>
  </si>
  <si>
    <t>5/1307012E06</t>
  </si>
  <si>
    <t>5/1307012E09</t>
  </si>
  <si>
    <t>5/2302130K01</t>
  </si>
  <si>
    <t>5/2402200K54</t>
  </si>
  <si>
    <t>5/2403110K00</t>
  </si>
  <si>
    <t>5/2904050K00</t>
  </si>
  <si>
    <t>5/3001109D01</t>
  </si>
  <si>
    <t>5/3103101P01</t>
  </si>
  <si>
    <t>5/3103110K00</t>
  </si>
  <si>
    <t>5/3412011K00</t>
  </si>
  <si>
    <t>5/3412011K54</t>
  </si>
  <si>
    <t>5/3501140G08</t>
  </si>
  <si>
    <t>5/3502011P00</t>
  </si>
  <si>
    <t>5/3502105K00</t>
  </si>
  <si>
    <t>5/3502106K00</t>
  </si>
  <si>
    <t>5/3502108K00</t>
  </si>
  <si>
    <t>5/3502137P01</t>
  </si>
  <si>
    <t>5/3502340G08</t>
  </si>
  <si>
    <t>5/3507120K00</t>
  </si>
  <si>
    <t>5/3707010E01</t>
  </si>
  <si>
    <t>5/8103012K00</t>
  </si>
  <si>
    <t>5/8103110K00</t>
  </si>
  <si>
    <t>5/8104400K12</t>
  </si>
  <si>
    <t>5/8107200P09</t>
  </si>
  <si>
    <t>5/8107300P00</t>
  </si>
  <si>
    <t>5/KITSEGBT50</t>
  </si>
  <si>
    <t>5/LONAWINGLE</t>
  </si>
  <si>
    <t>5/SMD136466V</t>
  </si>
  <si>
    <t>5/SMD346924G</t>
  </si>
  <si>
    <t>59/450343OTS</t>
  </si>
  <si>
    <t>59/7013QVOTS</t>
  </si>
  <si>
    <t>59/7013QWOTS</t>
  </si>
  <si>
    <t>59/7013QXOTS</t>
  </si>
  <si>
    <t>59/KITSEGC4C</t>
  </si>
  <si>
    <t>6/C201135300</t>
  </si>
  <si>
    <t>6/CM50130201</t>
  </si>
  <si>
    <t>6/H150021010</t>
  </si>
  <si>
    <t>6/H160010800</t>
  </si>
  <si>
    <t>6/H160010810</t>
  </si>
  <si>
    <t>6/KITSEGA500</t>
  </si>
  <si>
    <t>6/KITSEGCS15</t>
  </si>
  <si>
    <t>6/KITSEGCS55</t>
  </si>
  <si>
    <t>6/KITSEGCS75</t>
  </si>
  <si>
    <t>6/KITSEGSUPV</t>
  </si>
  <si>
    <t>6/KITSEGUNIT</t>
  </si>
  <si>
    <t>7/1009102RAA</t>
  </si>
  <si>
    <t>7/1012100TNB</t>
  </si>
  <si>
    <t>7/1026104GAA</t>
  </si>
  <si>
    <t>7/31911V2210</t>
  </si>
  <si>
    <t>7/4203930010</t>
  </si>
  <si>
    <t>7/491404A500</t>
  </si>
  <si>
    <t>7/528204A060</t>
  </si>
  <si>
    <t>7/581014AA32</t>
  </si>
  <si>
    <t>7/81991V2091</t>
  </si>
  <si>
    <t>7/FWJ-25AOTS</t>
  </si>
  <si>
    <t>8/2000003520</t>
  </si>
  <si>
    <t>8/2000003693</t>
  </si>
  <si>
    <t>8/2000003865</t>
  </si>
  <si>
    <t>8/2000004023</t>
  </si>
  <si>
    <t>8/2000004554</t>
  </si>
  <si>
    <t>8/2000004793</t>
  </si>
  <si>
    <t>8/2000004795</t>
  </si>
  <si>
    <t>8/2000005240</t>
  </si>
  <si>
    <t>8/2000005241</t>
  </si>
  <si>
    <t>8/2000005242</t>
  </si>
  <si>
    <t>8/2000005243</t>
  </si>
  <si>
    <t>8/2000005244</t>
  </si>
  <si>
    <t>8/2000005247</t>
  </si>
  <si>
    <t>8/2000005430</t>
  </si>
  <si>
    <t>8/2000005723</t>
  </si>
  <si>
    <t>8/2000007134</t>
  </si>
  <si>
    <t>8/2000007164</t>
  </si>
  <si>
    <t>8/2000009238</t>
  </si>
  <si>
    <t>8/2000009246</t>
  </si>
  <si>
    <t>8/2000010241</t>
  </si>
  <si>
    <t>8/2000014170</t>
  </si>
  <si>
    <t>8/2000014171</t>
  </si>
  <si>
    <t>8/2000014172</t>
  </si>
  <si>
    <t>8/6207345738</t>
  </si>
  <si>
    <t>9/63350XC10D</t>
  </si>
  <si>
    <t>9/91036FN210</t>
  </si>
  <si>
    <t>9/91059FN010</t>
  </si>
  <si>
    <t>1/13780M67L00</t>
  </si>
  <si>
    <t>1/1752177-E20</t>
  </si>
  <si>
    <t>1/DPCAMBALENO</t>
  </si>
  <si>
    <t>1/KITSEGDZIRE</t>
  </si>
  <si>
    <t>1/LFR5A-11-BR</t>
  </si>
  <si>
    <t>1/TANQLENT7GL</t>
  </si>
  <si>
    <t>1/VASO14DZIRE</t>
  </si>
  <si>
    <t>10/1014003350</t>
  </si>
  <si>
    <t>10/CAMRG-185W</t>
  </si>
  <si>
    <t>10/KITSEGCX70</t>
  </si>
  <si>
    <t>10/KITSEGNGH6</t>
  </si>
  <si>
    <t>10/LAMINACH05</t>
  </si>
  <si>
    <t>10/LAMINACH20</t>
  </si>
  <si>
    <t>10/LAMINACH35</t>
  </si>
  <si>
    <t>10/LAMINACH50</t>
  </si>
  <si>
    <t>10/LUBACTVE12</t>
  </si>
  <si>
    <t>10/LUBEVO04CL</t>
  </si>
  <si>
    <t>10/LUBULT04CC</t>
  </si>
  <si>
    <t>10/LUBULT06PE</t>
  </si>
  <si>
    <t>10/LUBULT10PE</t>
  </si>
  <si>
    <t>10/LUBULT15CL</t>
  </si>
  <si>
    <t>10/LUBULT16CC</t>
  </si>
  <si>
    <t>10/N1KITSEGT9</t>
  </si>
  <si>
    <t>10/Q360B10DRL</t>
  </si>
  <si>
    <t>10/Q360B12DRL</t>
  </si>
  <si>
    <t>11/1026106GAA</t>
  </si>
  <si>
    <t>11/4208040740</t>
  </si>
  <si>
    <t>2/1D0013680RL</t>
  </si>
  <si>
    <t>2/1D0188YF8RL</t>
  </si>
  <si>
    <t>2/E2Z457K80RL</t>
  </si>
  <si>
    <t>2/GRYB57K80RL</t>
  </si>
  <si>
    <t>2/S2Y357K80RL</t>
  </si>
  <si>
    <t>2/SEGLLANBT50</t>
  </si>
  <si>
    <t>2/U2Y115YG0RL</t>
  </si>
  <si>
    <t>2/URZ457K80RL</t>
  </si>
  <si>
    <t>5/1017100ED01</t>
  </si>
  <si>
    <t>5/1017100EG01</t>
  </si>
  <si>
    <t>5/1021013ED01</t>
  </si>
  <si>
    <t>5/1021200ED01</t>
  </si>
  <si>
    <t>5/1021700ED01</t>
  </si>
  <si>
    <t>5/1306100ED01</t>
  </si>
  <si>
    <t>5/1306100EG01</t>
  </si>
  <si>
    <t>5/1307012-E09</t>
  </si>
  <si>
    <t>5/1307012ED01</t>
  </si>
  <si>
    <t>5/3412011AK08</t>
  </si>
  <si>
    <t>59/1606267680</t>
  </si>
  <si>
    <t>59/1606402680</t>
  </si>
  <si>
    <t>59/1608691680</t>
  </si>
  <si>
    <t>59/1609065580</t>
  </si>
  <si>
    <t>59/1609428180</t>
  </si>
  <si>
    <t>59/1609583080</t>
  </si>
  <si>
    <t>59/1611425780</t>
  </si>
  <si>
    <t>59/1613704080</t>
  </si>
  <si>
    <t>59/1615049280</t>
  </si>
  <si>
    <t>59/1616394580</t>
  </si>
  <si>
    <t>59/1616883480</t>
  </si>
  <si>
    <t>59/1629038380</t>
  </si>
  <si>
    <t>59/1631831780</t>
  </si>
  <si>
    <t>59/1635511180</t>
  </si>
  <si>
    <t>59/1635764180</t>
  </si>
  <si>
    <t>59/1635764980</t>
  </si>
  <si>
    <t>59/1638498080</t>
  </si>
  <si>
    <t>59/1647862480</t>
  </si>
  <si>
    <t>59/1647863480</t>
  </si>
  <si>
    <t>59/1647863580</t>
  </si>
  <si>
    <t>59/1647874380</t>
  </si>
  <si>
    <t>59/1647880280</t>
  </si>
  <si>
    <t>59/1647883380</t>
  </si>
  <si>
    <t>59/1654507180</t>
  </si>
  <si>
    <t>59/1654514280</t>
  </si>
  <si>
    <t>59/1654515880</t>
  </si>
  <si>
    <t>59/1654517280</t>
  </si>
  <si>
    <t>59/1673603880</t>
  </si>
  <si>
    <t>59/1680791780</t>
  </si>
  <si>
    <t>59/1682801680</t>
  </si>
  <si>
    <t>59/9674725580</t>
  </si>
  <si>
    <t>59/9675073180</t>
  </si>
  <si>
    <t>59/9675749480</t>
  </si>
  <si>
    <t>59/9675987380</t>
  </si>
  <si>
    <t>59/9676288180</t>
  </si>
  <si>
    <t>59/9677616580</t>
  </si>
  <si>
    <t>59/9677616680</t>
  </si>
  <si>
    <t>59/9800097580</t>
  </si>
  <si>
    <t>59/9801366680</t>
  </si>
  <si>
    <t>59/9804617380</t>
  </si>
  <si>
    <t>59/9805552080</t>
  </si>
  <si>
    <t>59/9808206880</t>
  </si>
  <si>
    <t>59/9808674780</t>
  </si>
  <si>
    <t>59/9808867880</t>
  </si>
  <si>
    <t>59/9810820080</t>
  </si>
  <si>
    <t>59/9813059580</t>
  </si>
  <si>
    <t>59/9814237680</t>
  </si>
  <si>
    <t>59/98176962XT</t>
  </si>
  <si>
    <t>59/9818914980</t>
  </si>
  <si>
    <t>59/9819663880</t>
  </si>
  <si>
    <t>59/9820932180</t>
  </si>
  <si>
    <t>59/9827488680</t>
  </si>
  <si>
    <t>6/B2110320300</t>
  </si>
  <si>
    <t>6/B3110550300</t>
  </si>
  <si>
    <t>6/B3110550301</t>
  </si>
  <si>
    <t>6/B3110560200</t>
  </si>
  <si>
    <t>6/B3110560400</t>
  </si>
  <si>
    <t>6/B3110560401</t>
  </si>
  <si>
    <t>6/B3110931600</t>
  </si>
  <si>
    <t>6/B3110931700</t>
  </si>
  <si>
    <t>6/B3111051300</t>
  </si>
  <si>
    <t>6/B3111082900</t>
  </si>
  <si>
    <t>6/B5010170203</t>
  </si>
  <si>
    <t>6/C2010140101</t>
  </si>
  <si>
    <t>6/C2010140102</t>
  </si>
  <si>
    <t>6/CM100301500</t>
  </si>
  <si>
    <t>6/CM100301600</t>
  </si>
  <si>
    <t>6/CM100350102</t>
  </si>
  <si>
    <t>6/CM100380801</t>
  </si>
  <si>
    <t>6/CM100380802</t>
  </si>
  <si>
    <t>6/CM100380803</t>
  </si>
  <si>
    <t>6/CM100380804</t>
  </si>
  <si>
    <t>6/CM100391200</t>
  </si>
  <si>
    <t>6/CM100391201</t>
  </si>
  <si>
    <t>6/CM100391600</t>
  </si>
  <si>
    <t>6/CM100631000</t>
  </si>
  <si>
    <t>6/CM101571200</t>
  </si>
  <si>
    <t>6/DA150130500</t>
  </si>
  <si>
    <t>6/DA150140700</t>
  </si>
  <si>
    <t>6/DA180060400</t>
  </si>
  <si>
    <t>6/DA180060900</t>
  </si>
  <si>
    <t>6/DA180080600</t>
  </si>
  <si>
    <t>6/DA180200200</t>
  </si>
  <si>
    <t>6/DF727A01107</t>
  </si>
  <si>
    <t>6/EA0081900AB</t>
  </si>
  <si>
    <t>6/F1020170203</t>
  </si>
  <si>
    <t>6/F2020430400</t>
  </si>
  <si>
    <t>6/F2020430401</t>
  </si>
  <si>
    <t>6/G1010000603</t>
  </si>
  <si>
    <t>6/G1010000606</t>
  </si>
  <si>
    <t>6/G1010002703</t>
  </si>
  <si>
    <t>6/G1010381201</t>
  </si>
  <si>
    <t>6/G1010460200</t>
  </si>
  <si>
    <t>6/G1010900200</t>
  </si>
  <si>
    <t>6/G1010981201</t>
  </si>
  <si>
    <t>6/G1010991600</t>
  </si>
  <si>
    <t>6/H15T0020700</t>
  </si>
  <si>
    <t>6/H15T0021200</t>
  </si>
  <si>
    <t>6/M2010170300</t>
  </si>
  <si>
    <t>6/M2010451600</t>
  </si>
  <si>
    <t>6/R1010240101</t>
  </si>
  <si>
    <t>6/R1020140800</t>
  </si>
  <si>
    <t>6/R1020970500</t>
  </si>
  <si>
    <t>6/R1030290115</t>
  </si>
  <si>
    <t>6/R1030290117</t>
  </si>
  <si>
    <t>6/R1030290118</t>
  </si>
  <si>
    <t>6/R1030350102</t>
  </si>
  <si>
    <t>6/R1030350104</t>
  </si>
  <si>
    <t>6/R1030350204</t>
  </si>
  <si>
    <t>6/R1030510301</t>
  </si>
  <si>
    <t>6/R1030930200</t>
  </si>
  <si>
    <t>6/R1030950311</t>
  </si>
  <si>
    <t>6/S1010140400</t>
  </si>
  <si>
    <t>6/S1010302100</t>
  </si>
  <si>
    <t>6/S1010491000</t>
  </si>
  <si>
    <t>6/S1010620304</t>
  </si>
  <si>
    <t>6/S1010620305</t>
  </si>
  <si>
    <t>6/S1010621202</t>
  </si>
  <si>
    <t>6/S1010630404</t>
  </si>
  <si>
    <t>6/S1010630406</t>
  </si>
  <si>
    <t>6/S2010413700</t>
  </si>
  <si>
    <t>6/S2010560200</t>
  </si>
  <si>
    <t>6/S2010560900</t>
  </si>
  <si>
    <t>6/S2010570300</t>
  </si>
  <si>
    <t>6/S2010580300</t>
  </si>
  <si>
    <t>6/S2010580900</t>
  </si>
  <si>
    <t>6/S2010640500</t>
  </si>
  <si>
    <t>6/S3010140903</t>
  </si>
  <si>
    <t>7/3741200R001</t>
  </si>
  <si>
    <t>7/3741220R001</t>
  </si>
  <si>
    <t>7/43030-V7100</t>
  </si>
  <si>
    <t>7/51701-44030</t>
  </si>
  <si>
    <t>7/51830-44000</t>
  </si>
  <si>
    <t>7/KITSEGJACS3</t>
  </si>
  <si>
    <t>7/KITSEGJACT6</t>
  </si>
  <si>
    <t>7/MAQ004ISOPE</t>
  </si>
  <si>
    <t>7/S1011262600</t>
  </si>
  <si>
    <t>7/S31030040G0</t>
  </si>
  <si>
    <t>7/S35010030F3</t>
  </si>
  <si>
    <t>1/2326565D0000</t>
  </si>
  <si>
    <t>1/2810478810RX</t>
  </si>
  <si>
    <t>1/4241265J0000</t>
  </si>
  <si>
    <t>1/5340165D0000</t>
  </si>
  <si>
    <t>1/5340265D0000</t>
  </si>
  <si>
    <t>1/928330074000</t>
  </si>
  <si>
    <t>1/KITSEGNWGVIT</t>
  </si>
  <si>
    <t>1/KITSEGSCROSS</t>
  </si>
  <si>
    <t>1/KITSEGSUZAPV</t>
  </si>
  <si>
    <t>1/KITSEGSUZJIM</t>
  </si>
  <si>
    <t>1/SENSORES1071</t>
  </si>
  <si>
    <t>10/00720 111 1</t>
  </si>
  <si>
    <t>10/00720 116 3</t>
  </si>
  <si>
    <t>10/00720 116 7</t>
  </si>
  <si>
    <t>10/00720 132 1</t>
  </si>
  <si>
    <t>10/00720 134 1</t>
  </si>
  <si>
    <t>10/00720 138 3</t>
  </si>
  <si>
    <t>10/00720 162 1</t>
  </si>
  <si>
    <t>10/00720 171 1</t>
  </si>
  <si>
    <t>10/132101U8010</t>
  </si>
  <si>
    <t>10/30720 710 1</t>
  </si>
  <si>
    <t>10/30720 711 1</t>
  </si>
  <si>
    <t>10/30720 712 1</t>
  </si>
  <si>
    <t>10/30720 738 3</t>
  </si>
  <si>
    <t>10/30720 762 1</t>
  </si>
  <si>
    <t>10/30720 763 1</t>
  </si>
  <si>
    <t>10/30720 763 2</t>
  </si>
  <si>
    <t>10/85W140SHELL</t>
  </si>
  <si>
    <t>10/ALPRESAPS25</t>
  </si>
  <si>
    <t>10/DPARP024L55</t>
  </si>
  <si>
    <t>10/DPMAG1CVTFS</t>
  </si>
  <si>
    <t>10/DPMULTIPOER</t>
  </si>
  <si>
    <t>10/KITSEGDARGO</t>
  </si>
  <si>
    <t>10/KITSEGDZIRE</t>
  </si>
  <si>
    <t>10/KITSEGFRONX</t>
  </si>
  <si>
    <t>10/KITSEGHAVH6</t>
  </si>
  <si>
    <t>10/KITSEGJACT8</t>
  </si>
  <si>
    <t>10/KITSEGNWCX5</t>
  </si>
  <si>
    <t>10/LFR5A-11-BR</t>
  </si>
  <si>
    <t>10/N1KITSEGCX3</t>
  </si>
  <si>
    <t>10/N1KITSEGJOL</t>
  </si>
  <si>
    <t>11/2905010D800</t>
  </si>
  <si>
    <t>11/3802950E800</t>
  </si>
  <si>
    <t>11/640-1012240</t>
  </si>
  <si>
    <t>11/MAQ001ISOPE</t>
  </si>
  <si>
    <t>11/MAQ006ISOPE</t>
  </si>
  <si>
    <t>2/1K0S66171 88</t>
  </si>
  <si>
    <t>2/1K6869210 00</t>
  </si>
  <si>
    <t>2/995621000OTS</t>
  </si>
  <si>
    <t>2/BBY97661XBRL</t>
  </si>
  <si>
    <t>2/BHS257L30D02</t>
  </si>
  <si>
    <t>2/D1YE7661XARL</t>
  </si>
  <si>
    <t>2/DA8A42166OTS</t>
  </si>
  <si>
    <t>2/G4YC675XXOTS</t>
  </si>
  <si>
    <t>2/GSZE57K80ARL</t>
  </si>
  <si>
    <t>2/KAYL510A2OTS</t>
  </si>
  <si>
    <t>2/KDY5675XXOTS</t>
  </si>
  <si>
    <t>2/KITSEGNWM3HB</t>
  </si>
  <si>
    <t>2/KR22691N7 KM</t>
  </si>
  <si>
    <t>2/P5Y113350OTS</t>
  </si>
  <si>
    <t>2/PEY313350OTS</t>
  </si>
  <si>
    <t>2/PYY213350OTS</t>
  </si>
  <si>
    <t>2/TK48691N1A64</t>
  </si>
  <si>
    <t>2/TK4950031JBB</t>
  </si>
  <si>
    <t>2/TKY2675XXOTS</t>
  </si>
  <si>
    <t>2/U2Y1187658RL</t>
  </si>
  <si>
    <t>2/U601199G0JRL</t>
  </si>
  <si>
    <t>3/KITSEGCAPTUR</t>
  </si>
  <si>
    <t>3/KITSEGDUSTER</t>
  </si>
  <si>
    <t>3/KITSEGKOLEOS</t>
  </si>
  <si>
    <t>5/1002450E02A1</t>
  </si>
  <si>
    <t>5/1003200XEC01</t>
  </si>
  <si>
    <t>5/1003200XED95</t>
  </si>
  <si>
    <t>5/1003920XEN01</t>
  </si>
  <si>
    <t>5/1007011XED95</t>
  </si>
  <si>
    <t>5/1007012XED95</t>
  </si>
  <si>
    <t>5/1007100CED01</t>
  </si>
  <si>
    <t>5/1008101XED95</t>
  </si>
  <si>
    <t>5/1008300XED61</t>
  </si>
  <si>
    <t>5/1009305XEC06</t>
  </si>
  <si>
    <t>5/1017100AEC01</t>
  </si>
  <si>
    <t>5/1017110XED95</t>
  </si>
  <si>
    <t>5/1017110XEN01</t>
  </si>
  <si>
    <t>5/1021701XED61</t>
  </si>
  <si>
    <t>5/1021910XED61</t>
  </si>
  <si>
    <t>5/1100100XED95</t>
  </si>
  <si>
    <t>5/1109101K08A1</t>
  </si>
  <si>
    <t>5/1109110P00A1</t>
  </si>
  <si>
    <t>5/1111100XED61</t>
  </si>
  <si>
    <t>5/1111402AED09</t>
  </si>
  <si>
    <t>5/1111402XED95</t>
  </si>
  <si>
    <t>5/1111402XED96</t>
  </si>
  <si>
    <t>5/1207110XED95</t>
  </si>
  <si>
    <t>5/3611090XED95</t>
  </si>
  <si>
    <t>5/3701011XED95</t>
  </si>
  <si>
    <t>5/3707100WEC05</t>
  </si>
  <si>
    <t>5/3707100XEN01</t>
  </si>
  <si>
    <t>5/3770100AED01</t>
  </si>
  <si>
    <t>5/3770100AED61</t>
  </si>
  <si>
    <t>5/6002LLUC/2A8</t>
  </si>
  <si>
    <t>5/8107200P00A1</t>
  </si>
  <si>
    <t>58/1602111KZ16</t>
  </si>
  <si>
    <t>6/236616030OTS</t>
  </si>
  <si>
    <t>6/CM1015981200</t>
  </si>
  <si>
    <t>6/DAT150080100</t>
  </si>
  <si>
    <t>6/DF727A019020</t>
  </si>
  <si>
    <t>6/H160170201AA</t>
  </si>
  <si>
    <t>6/KITSEGGNEWSV</t>
  </si>
  <si>
    <t>6/KITSEGHONORS</t>
  </si>
  <si>
    <t>6/KITSEGNWCS15</t>
  </si>
  <si>
    <t>6/NE14T0030200</t>
  </si>
  <si>
    <t>6/NE14T0040010</t>
  </si>
  <si>
    <t>6/PC2010041701</t>
  </si>
  <si>
    <t>6/PC2010061101</t>
  </si>
  <si>
    <t>6/PC2010061502</t>
  </si>
  <si>
    <t>6/PC2010120501</t>
  </si>
  <si>
    <t>6/PC2010133701</t>
  </si>
  <si>
    <t>6/PC2010134501</t>
  </si>
  <si>
    <t>6/PC2010151201</t>
  </si>
  <si>
    <t>6/PC2010242602</t>
  </si>
  <si>
    <t>6/PC2010262102</t>
  </si>
  <si>
    <t>6/PC2010500901</t>
  </si>
  <si>
    <t>6/PC2010580401</t>
  </si>
  <si>
    <t>6/PC2010580701</t>
  </si>
  <si>
    <t>6/PC2010580801</t>
  </si>
  <si>
    <t>6/PC2010981202</t>
  </si>
  <si>
    <t>6/PC2011040901</t>
  </si>
  <si>
    <t>6/PC2011410201</t>
  </si>
  <si>
    <t>6/PROTTOLVAF70</t>
  </si>
  <si>
    <t>7/1001700V6550</t>
  </si>
  <si>
    <t>7/1002015FB040</t>
  </si>
  <si>
    <t>7/1002016FB040</t>
  </si>
  <si>
    <t>7/1003014FD040</t>
  </si>
  <si>
    <t>7/1003015FD020</t>
  </si>
  <si>
    <t>7/1003036GD150</t>
  </si>
  <si>
    <t>7/1004010FD020</t>
  </si>
  <si>
    <t>7/1004027FB040</t>
  </si>
  <si>
    <t>7/1009105FE010</t>
  </si>
  <si>
    <t>7/1009113FB100</t>
  </si>
  <si>
    <t>7/1010210GD052</t>
  </si>
  <si>
    <t>7/1010320FB040</t>
  </si>
  <si>
    <t>7/1010320FB100</t>
  </si>
  <si>
    <t>7/1010320FD060</t>
  </si>
  <si>
    <t>7/1015601GD150</t>
  </si>
  <si>
    <t>7/1015602GD150</t>
  </si>
  <si>
    <t>7/1015610GD150</t>
  </si>
  <si>
    <t>7/1015620GD150</t>
  </si>
  <si>
    <t>7/1017100GG010</t>
  </si>
  <si>
    <t>7/1021018FD020</t>
  </si>
  <si>
    <t>7/1021019FD020</t>
  </si>
  <si>
    <t>7/1021060FD020</t>
  </si>
  <si>
    <t>7/1021070FD020</t>
  </si>
  <si>
    <t>7/1021080FD020</t>
  </si>
  <si>
    <t>7/1021090FD020</t>
  </si>
  <si>
    <t>7/1021110FD020</t>
  </si>
  <si>
    <t>7/1021120FD020</t>
  </si>
  <si>
    <t>7/1023611GD150</t>
  </si>
  <si>
    <t>7/1025014GH050</t>
  </si>
  <si>
    <t>7/1025014GH055</t>
  </si>
  <si>
    <t>7/1025018FB014</t>
  </si>
  <si>
    <t>7/1025018FD040</t>
  </si>
  <si>
    <t>7/1025400FD020</t>
  </si>
  <si>
    <t>7/1025800FD020</t>
  </si>
  <si>
    <t>7/1026080GG010</t>
  </si>
  <si>
    <t>7/1026080GH030</t>
  </si>
  <si>
    <t>7/1026080GH500</t>
  </si>
  <si>
    <t>7/1026140FD020</t>
  </si>
  <si>
    <t>7/1026150FD020</t>
  </si>
  <si>
    <t>7/1026170FE010</t>
  </si>
  <si>
    <t>7/1026190FD020</t>
  </si>
  <si>
    <t>7/1026321FD040</t>
  </si>
  <si>
    <t>7/1026322FD040</t>
  </si>
  <si>
    <t>7/1026340FD020</t>
  </si>
  <si>
    <t>7/1026621GD050</t>
  </si>
  <si>
    <t>7/1041050FD020</t>
  </si>
  <si>
    <t>7/1042200FD020</t>
  </si>
  <si>
    <t>7/1103010P3010</t>
  </si>
  <si>
    <t>7/1105010W5030</t>
  </si>
  <si>
    <t>7/1105011R0070</t>
  </si>
  <si>
    <t>7/1105013P3030</t>
  </si>
  <si>
    <t>7/1105014P3012</t>
  </si>
  <si>
    <t>7/1105014P31F0</t>
  </si>
  <si>
    <t>7/1105020DX150</t>
  </si>
  <si>
    <t>7/1105020LE058</t>
  </si>
  <si>
    <t>7/1105021R0070</t>
  </si>
  <si>
    <t>7/1105022P3012</t>
  </si>
  <si>
    <t>7/1105023P3012</t>
  </si>
  <si>
    <t>7/1105100U1010</t>
  </si>
  <si>
    <t>7/1105100U2010</t>
  </si>
  <si>
    <t>7/1105100U8010</t>
  </si>
  <si>
    <t>7/1105100U8050</t>
  </si>
  <si>
    <t>7/1105202V6530</t>
  </si>
  <si>
    <t>7/1109020P3060</t>
  </si>
  <si>
    <t>7/1109120U2010</t>
  </si>
  <si>
    <t>7/1109120U2210</t>
  </si>
  <si>
    <t>7/1109120U8710</t>
  </si>
  <si>
    <t>7/1109130P3030</t>
  </si>
  <si>
    <t>7/1109130P3040</t>
  </si>
  <si>
    <t>7/1109130P33H2</t>
  </si>
  <si>
    <t>7/1109130S5500</t>
  </si>
  <si>
    <t>7/1109130U1510</t>
  </si>
  <si>
    <t>7/1109130U2400</t>
  </si>
  <si>
    <t>7/1109130U9020</t>
  </si>
  <si>
    <t>7/1109130V5070</t>
  </si>
  <si>
    <t>7/1109130V6500</t>
  </si>
  <si>
    <t>7/1200230U8510</t>
  </si>
  <si>
    <t>7/1200240U8510</t>
  </si>
  <si>
    <t>7/1205231P3030</t>
  </si>
  <si>
    <t>7/1205232P3030</t>
  </si>
  <si>
    <t>7/1311100U8510</t>
  </si>
  <si>
    <t>7/1608010P306A</t>
  </si>
  <si>
    <t>7/1608100U3400</t>
  </si>
  <si>
    <t>7/1703400P3060</t>
  </si>
  <si>
    <t>7/2803142U2400</t>
  </si>
  <si>
    <t>7/2804100P306A</t>
  </si>
  <si>
    <t>7/2804105P306A</t>
  </si>
  <si>
    <t>7/2804200P306A</t>
  </si>
  <si>
    <t>7/2901100U8910</t>
  </si>
  <si>
    <t>7/2901200U8910</t>
  </si>
  <si>
    <t>7/2901310U1910</t>
  </si>
  <si>
    <t>7/2901710U8910</t>
  </si>
  <si>
    <t>7/2902020W5000</t>
  </si>
  <si>
    <t>7/2904300P3010</t>
  </si>
  <si>
    <t>7/2904320P3010</t>
  </si>
  <si>
    <t>7/2904330P3010</t>
  </si>
  <si>
    <t>7/2904340P3010</t>
  </si>
  <si>
    <t>7/2904350P3010</t>
  </si>
  <si>
    <t>7/2904360P3010</t>
  </si>
  <si>
    <t>7/2904400P3010</t>
  </si>
  <si>
    <t>7/2904500P3010</t>
  </si>
  <si>
    <t>7/2904510P3010</t>
  </si>
  <si>
    <t>7/2904530P3010</t>
  </si>
  <si>
    <t>7/2904540P3010</t>
  </si>
  <si>
    <t>7/2904600P3010</t>
  </si>
  <si>
    <t>7/2905010P3010</t>
  </si>
  <si>
    <t>7/2905100P3010</t>
  </si>
  <si>
    <t>7/2905100U3400</t>
  </si>
  <si>
    <t>7/2905110U3400</t>
  </si>
  <si>
    <t>7/2905200U3400</t>
  </si>
  <si>
    <t>7/2905210U3400</t>
  </si>
  <si>
    <t>7/2906013P3010</t>
  </si>
  <si>
    <t>7/2906020P3010</t>
  </si>
  <si>
    <t>7/2906030P3010</t>
  </si>
  <si>
    <t>7/2906210U8510</t>
  </si>
  <si>
    <t>7/2906220U3400</t>
  </si>
  <si>
    <t>7/2906220U8510</t>
  </si>
  <si>
    <t>7/2911200U1910</t>
  </si>
  <si>
    <t>7/2915010P3010</t>
  </si>
  <si>
    <t>7/2915013P3010</t>
  </si>
  <si>
    <t>7/3101032U2210</t>
  </si>
  <si>
    <t>7/3103100P3060</t>
  </si>
  <si>
    <t>7/3406030R0070</t>
  </si>
  <si>
    <t>7/3501020P3010</t>
  </si>
  <si>
    <t>7/3501050P3010</t>
  </si>
  <si>
    <t>7/3503300S5500</t>
  </si>
  <si>
    <t>7/3504050P3031</t>
  </si>
  <si>
    <t>7/3504300P33A0</t>
  </si>
  <si>
    <t>7/3540100U19AN</t>
  </si>
  <si>
    <t>7/3550030P3031</t>
  </si>
  <si>
    <t>7/3603200U7313</t>
  </si>
  <si>
    <t>7/3667340U3480</t>
  </si>
  <si>
    <t>7/3704020R0090</t>
  </si>
  <si>
    <t>7/4003100P3334</t>
  </si>
  <si>
    <t>7/4121400U2401</t>
  </si>
  <si>
    <t>7/4133100P306A</t>
  </si>
  <si>
    <t>7/4133300P306A</t>
  </si>
  <si>
    <t>7/5001105P3010</t>
  </si>
  <si>
    <t>7/5205080U3400</t>
  </si>
  <si>
    <t>7/5207100U3480</t>
  </si>
  <si>
    <t>7/5512700P306A</t>
  </si>
  <si>
    <t>7/5512800P306A</t>
  </si>
  <si>
    <t>7/5522300P306A</t>
  </si>
  <si>
    <t>7/6205280S5500</t>
  </si>
  <si>
    <t>7/7911030V6533</t>
  </si>
  <si>
    <t>7/8100101P3010</t>
  </si>
  <si>
    <t>7/8104102P3010</t>
  </si>
  <si>
    <t>7/8113120G1P10</t>
  </si>
  <si>
    <t>7/8401500P306A</t>
  </si>
  <si>
    <t>7/8506300P3011</t>
  </si>
  <si>
    <t>7/H106-3411705</t>
  </si>
  <si>
    <t>7/H106-3411725</t>
  </si>
  <si>
    <t>7/KITSEGREFINE</t>
  </si>
  <si>
    <t>7/PROTTOLVAJAC</t>
  </si>
  <si>
    <t>7/S11090010-A7</t>
  </si>
  <si>
    <t>7/S35020010-F3</t>
  </si>
  <si>
    <t>7/S37410070-D1</t>
  </si>
  <si>
    <t>9/60009SJ0109P</t>
  </si>
  <si>
    <t>1/0948200427000</t>
  </si>
  <si>
    <t>1/0948200642000</t>
  </si>
  <si>
    <t>1/0948200647000</t>
  </si>
  <si>
    <t>1/1117969G01000</t>
  </si>
  <si>
    <t>1/1118962R10000</t>
  </si>
  <si>
    <t>1/1161073R01000</t>
  </si>
  <si>
    <t>1/1276162M00000</t>
  </si>
  <si>
    <t>1/1276167J00000</t>
  </si>
  <si>
    <t>1/1276171C20000</t>
  </si>
  <si>
    <t>1/1281071C02000</t>
  </si>
  <si>
    <t>1/1378058M00000</t>
  </si>
  <si>
    <t>1/1378061J00000</t>
  </si>
  <si>
    <t>1/1378061M00000</t>
  </si>
  <si>
    <t>1/1378063J00000</t>
  </si>
  <si>
    <t>1/1378065J00000</t>
  </si>
  <si>
    <t>1/1378068M00000</t>
  </si>
  <si>
    <t>1/1378071L00000</t>
  </si>
  <si>
    <t>1/1378073R00000</t>
  </si>
  <si>
    <t>1/1378078K00000</t>
  </si>
  <si>
    <t>1/1378078R00000</t>
  </si>
  <si>
    <t>1/1378081A00000</t>
  </si>
  <si>
    <t>1/1378081PA0000</t>
  </si>
  <si>
    <t>1/1651061832B24</t>
  </si>
  <si>
    <t>1/1651061J00000</t>
  </si>
  <si>
    <t>1/1651084M00000</t>
  </si>
  <si>
    <t>1/1691054LA1000</t>
  </si>
  <si>
    <t>1/1752152E00000</t>
  </si>
  <si>
    <t>1/1752158M00000</t>
  </si>
  <si>
    <t>1/1752161A00000</t>
  </si>
  <si>
    <t>1/1752161MA0000</t>
  </si>
  <si>
    <t>1/1752164J00000</t>
  </si>
  <si>
    <t>1/1752173R00000</t>
  </si>
  <si>
    <t>1/1752177E20000</t>
  </si>
  <si>
    <t>1/1752178R00000</t>
  </si>
  <si>
    <t>1/1752183AA0000</t>
  </si>
  <si>
    <t>1/1752185300000</t>
  </si>
  <si>
    <t>1/1753077E00000</t>
  </si>
  <si>
    <t>1/1754054L00000</t>
  </si>
  <si>
    <t>1/1758254D00000</t>
  </si>
  <si>
    <t>1/1758354D00000</t>
  </si>
  <si>
    <t>1/1767063J00000</t>
  </si>
  <si>
    <t>1/1767065D00000</t>
  </si>
  <si>
    <t>1/1792075F00000</t>
  </si>
  <si>
    <t>1/1811861J00000</t>
  </si>
  <si>
    <t>1/1813068M03OTS</t>
  </si>
  <si>
    <t>1/2200066811000</t>
  </si>
  <si>
    <t>1/2200078810000</t>
  </si>
  <si>
    <t>1/2200081812000</t>
  </si>
  <si>
    <t>1/2210064G00000</t>
  </si>
  <si>
    <t>1/2326565G00000</t>
  </si>
  <si>
    <t>1/2371060K20000</t>
  </si>
  <si>
    <t>1/2381073R00000</t>
  </si>
  <si>
    <t>1/2743157LA0000</t>
  </si>
  <si>
    <t>1/2743254LA0000</t>
  </si>
  <si>
    <t>1/2810478820RX0</t>
  </si>
  <si>
    <t>1/2810478830RX0</t>
  </si>
  <si>
    <t>1/2813967J00000</t>
  </si>
  <si>
    <t>1/3560373R10000</t>
  </si>
  <si>
    <t>1/36750778D0RX0</t>
  </si>
  <si>
    <t>1/3714555JA1000</t>
  </si>
  <si>
    <t>1/3768065J00000</t>
  </si>
  <si>
    <t>1/3841066113000</t>
  </si>
  <si>
    <t>1/3849660G00000</t>
  </si>
  <si>
    <t>1/4121165J00000</t>
  </si>
  <si>
    <t>1/4131160K00000</t>
  </si>
  <si>
    <t>1/4131165J01000</t>
  </si>
  <si>
    <t>1/4134165J00000</t>
  </si>
  <si>
    <t>1/4181078K00000</t>
  </si>
  <si>
    <t>1/4193071810RX0</t>
  </si>
  <si>
    <t>1/4193165J00000</t>
  </si>
  <si>
    <t>1/4193265J00000</t>
  </si>
  <si>
    <t>1/4211165J00000</t>
  </si>
  <si>
    <t>1/4241277R00000</t>
  </si>
  <si>
    <t>1/4241282CA0000</t>
  </si>
  <si>
    <t>1/4916064J01RX0</t>
  </si>
  <si>
    <t>1/4916064J02000</t>
  </si>
  <si>
    <t>1/4916065D40000</t>
  </si>
  <si>
    <t>1/4916070AA0000</t>
  </si>
  <si>
    <t>1/4916077E01RX0</t>
  </si>
  <si>
    <t>1/4918150J40000</t>
  </si>
  <si>
    <t>1/4918164J00000</t>
  </si>
  <si>
    <t>1/5320061J00000</t>
  </si>
  <si>
    <t>1/53200M74L0000</t>
  </si>
  <si>
    <t>1/5460077K00000</t>
  </si>
  <si>
    <t>1/5520065J25000</t>
  </si>
  <si>
    <t>1/5520065J26000</t>
  </si>
  <si>
    <t>1/5520650J00000</t>
  </si>
  <si>
    <t>1/5521176J02000</t>
  </si>
  <si>
    <t>1/5531161J01000</t>
  </si>
  <si>
    <t>1/5547577K00000</t>
  </si>
  <si>
    <t>1/5580061M11000</t>
  </si>
  <si>
    <t>1/5580077K05000</t>
  </si>
  <si>
    <t>1/5581058M00000</t>
  </si>
  <si>
    <t>1/5581078R01000</t>
  </si>
  <si>
    <t>1/5581081P01000</t>
  </si>
  <si>
    <t>1/5584061J00000</t>
  </si>
  <si>
    <t>1/5584065J01000</t>
  </si>
  <si>
    <t>1/5585061J00000</t>
  </si>
  <si>
    <t>1/5645182K01000</t>
  </si>
  <si>
    <t>1/7175186R000PG</t>
  </si>
  <si>
    <t>1/7214160K000CB</t>
  </si>
  <si>
    <t>1/7238065J00000</t>
  </si>
  <si>
    <t>1/7248357M00000</t>
  </si>
  <si>
    <t>1/7719176F00000</t>
  </si>
  <si>
    <t>1/8283052R03RX0</t>
  </si>
  <si>
    <t>1/8284052R03RX0</t>
  </si>
  <si>
    <t>1/8471865J00Z2S</t>
  </si>
  <si>
    <t>1/8924171L01RX0</t>
  </si>
  <si>
    <t>1/916814015-M14</t>
  </si>
  <si>
    <t>1/9514150F01000</t>
  </si>
  <si>
    <t>1/9514160G90000</t>
  </si>
  <si>
    <t>1/9514161J00000</t>
  </si>
  <si>
    <t>1/9514161J10000</t>
  </si>
  <si>
    <t>1/9514161M00000</t>
  </si>
  <si>
    <t>1/9514164J00000</t>
  </si>
  <si>
    <t>1/9514173R00000</t>
  </si>
  <si>
    <t>1/9514177M00000</t>
  </si>
  <si>
    <t>1/9514177R10000</t>
  </si>
  <si>
    <t>1/9514179M00000</t>
  </si>
  <si>
    <t>1/9514179P10000</t>
  </si>
  <si>
    <t>1/9586059S00000</t>
  </si>
  <si>
    <t>1/9586061M00000</t>
  </si>
  <si>
    <t>1/9586063J10000</t>
  </si>
  <si>
    <t>1/9586080J00000</t>
  </si>
  <si>
    <t>1/9586164J10000</t>
  </si>
  <si>
    <t>1/9586171L10000</t>
  </si>
  <si>
    <t>1/9586181P00000</t>
  </si>
  <si>
    <t>1/KITSEGSUZALTO</t>
  </si>
  <si>
    <t>1/KITSEGSUZGRNO</t>
  </si>
  <si>
    <t>10/1025011XEN01</t>
  </si>
  <si>
    <t>10/ALARBASIC110</t>
  </si>
  <si>
    <t>10/BS102200900A</t>
  </si>
  <si>
    <t>10/KITSEGALSVIN</t>
  </si>
  <si>
    <t>10/KITSEGCX9MDN</t>
  </si>
  <si>
    <t>10/KITSEGHUNTER</t>
  </si>
  <si>
    <t>10/KITSEGNWCS35</t>
  </si>
  <si>
    <t>10/KITSEGNWM3HB</t>
  </si>
  <si>
    <t>10/KITSEGNWM3SD</t>
  </si>
  <si>
    <t>10/KITSEGSUZAPV</t>
  </si>
  <si>
    <t>10/LUBCOOLANT03</t>
  </si>
  <si>
    <t>10/LUBULT10PECC</t>
  </si>
  <si>
    <t>10/MANUCHANCS35</t>
  </si>
  <si>
    <t>11/1010320FE010</t>
  </si>
  <si>
    <t>11/1042200FE010</t>
  </si>
  <si>
    <t>11/1105013LD30J</t>
  </si>
  <si>
    <t>11/1105030LE37G</t>
  </si>
  <si>
    <t>11/1105030LG016</t>
  </si>
  <si>
    <t>11/1109130B5051</t>
  </si>
  <si>
    <t>11/1600100LD300</t>
  </si>
  <si>
    <t>11/1600200LD300</t>
  </si>
  <si>
    <t>11/6102135LE010</t>
  </si>
  <si>
    <t>11/S35010030-F3</t>
  </si>
  <si>
    <t>11/YF35FT-00113</t>
  </si>
  <si>
    <t>2/1D0143980AOTS</t>
  </si>
  <si>
    <t>2/1D0343980AOTS</t>
  </si>
  <si>
    <t>2/DA6A44010AOTS</t>
  </si>
  <si>
    <t>2/DA6B44010AOTS</t>
  </si>
  <si>
    <t>2/DAY067Y6YCOTS</t>
  </si>
  <si>
    <t>2/KITSEGNWBT50P</t>
  </si>
  <si>
    <t>2/TA0A626H0EOTS</t>
  </si>
  <si>
    <t>3/00890 321 185</t>
  </si>
  <si>
    <t>3/472104244ROTS</t>
  </si>
  <si>
    <t>3/497213913ROTS</t>
  </si>
  <si>
    <t>3/497218897ROTS</t>
  </si>
  <si>
    <t>3/497251364ROTS</t>
  </si>
  <si>
    <t>3/497252681ROTS</t>
  </si>
  <si>
    <t>3/497509934ROTS</t>
  </si>
  <si>
    <t>3/7701049351OTS</t>
  </si>
  <si>
    <t>3/8200420641OTS</t>
  </si>
  <si>
    <t>3/985708615ROTS</t>
  </si>
  <si>
    <t>3/AG00001356K01</t>
  </si>
  <si>
    <t>3/KITSEGSTEPWAY</t>
  </si>
  <si>
    <t>5/1109101XGW01A</t>
  </si>
  <si>
    <t>5/1109101XS16XB</t>
  </si>
  <si>
    <t>5/1109103XKM01A</t>
  </si>
  <si>
    <t>5/1109104XGW02A</t>
  </si>
  <si>
    <t>5/1109110XKZ16A</t>
  </si>
  <si>
    <t>5/1109110XKZ1DA</t>
  </si>
  <si>
    <t>5/1109110XP64XA</t>
  </si>
  <si>
    <t>5/1109110XP6EXA</t>
  </si>
  <si>
    <t>5/1109110XSZ08A</t>
  </si>
  <si>
    <t>5/1119100XP45AA</t>
  </si>
  <si>
    <t>5/1119114XP64XA</t>
  </si>
  <si>
    <t>5/1123101APW01B</t>
  </si>
  <si>
    <t>5/1207101XED01B</t>
  </si>
  <si>
    <t>5/1601001XPW01A</t>
  </si>
  <si>
    <t>5/1601002XPW01A</t>
  </si>
  <si>
    <t>5/1608100XPW01A</t>
  </si>
  <si>
    <t>5/1703110XPW01A</t>
  </si>
  <si>
    <t>5/2201104XPW01A</t>
  </si>
  <si>
    <t>5/2201116D01C01</t>
  </si>
  <si>
    <t>5/2203100XPW01A</t>
  </si>
  <si>
    <t>5/2302700XKV73A</t>
  </si>
  <si>
    <t>5/2402180XKZ17A</t>
  </si>
  <si>
    <t>5/2802101XPW01C</t>
  </si>
  <si>
    <t>5/2803114XKN01A</t>
  </si>
  <si>
    <t>5/2803122XKN01A</t>
  </si>
  <si>
    <t>5/2807100XKN01A</t>
  </si>
  <si>
    <t>5/2807100XSZ23A</t>
  </si>
  <si>
    <t>5/2904101XPW01A</t>
  </si>
  <si>
    <t>5/2904102XPW01A</t>
  </si>
  <si>
    <t>5/2904103XPW01A</t>
  </si>
  <si>
    <t>5/2904104XPW01A</t>
  </si>
  <si>
    <t>5/2905102XPW01A</t>
  </si>
  <si>
    <t>5/2905124XPW01A</t>
  </si>
  <si>
    <t>5/2905125XPW01A</t>
  </si>
  <si>
    <t>5/2906012AK00XA</t>
  </si>
  <si>
    <t>5/2906101XPW01A</t>
  </si>
  <si>
    <t>5/2906112XKZ16B</t>
  </si>
  <si>
    <t>5/2906300AK00B1</t>
  </si>
  <si>
    <t>5/2915101XPW01A</t>
  </si>
  <si>
    <t>5/2915110XSZ08A</t>
  </si>
  <si>
    <t>5/2916012AK00XA</t>
  </si>
  <si>
    <t>5/2916100AK00B1</t>
  </si>
  <si>
    <t>5/3103101XP55AC</t>
  </si>
  <si>
    <t>5/3401101XPW01A</t>
  </si>
  <si>
    <t>5/3407011A63DXA</t>
  </si>
  <si>
    <t>5/3501100XPW01A</t>
  </si>
  <si>
    <t>5/3501101XPW01A</t>
  </si>
  <si>
    <t>5/3501104XPW01A</t>
  </si>
  <si>
    <t>5/3501115AKZ16B</t>
  </si>
  <si>
    <t>5/3501119XKM01A</t>
  </si>
  <si>
    <t>5/3501119XPW01A</t>
  </si>
  <si>
    <t>5/3501150XK00XB</t>
  </si>
  <si>
    <t>5/3501171XGW01A</t>
  </si>
  <si>
    <t>5/3501201XP55AB</t>
  </si>
  <si>
    <t>5/3501306XGW01A</t>
  </si>
  <si>
    <t>5/3502011XP55AA</t>
  </si>
  <si>
    <t>5/3502100XPW01A</t>
  </si>
  <si>
    <t>5/3502101XPW01A</t>
  </si>
  <si>
    <t>5/3502102XPW01A</t>
  </si>
  <si>
    <t>5/3502104BGW01A</t>
  </si>
  <si>
    <t>5/3502105XGW01A</t>
  </si>
  <si>
    <t>5/3502109BGW01A</t>
  </si>
  <si>
    <t>5/3502110XKZ1DA</t>
  </si>
  <si>
    <t>5/3502126XGW02A</t>
  </si>
  <si>
    <t>5/3502139XPW01A</t>
  </si>
  <si>
    <t>5/3502140XKM01A</t>
  </si>
  <si>
    <t>5/3502140XPW01A</t>
  </si>
  <si>
    <t>5/3502315AKZ16A</t>
  </si>
  <si>
    <t>5/3502700XKZ16A</t>
  </si>
  <si>
    <t>5/3502800XKZ16A</t>
  </si>
  <si>
    <t>5/3506108XPW01A</t>
  </si>
  <si>
    <t>5/3506109XPW01A</t>
  </si>
  <si>
    <t>5/3550140XK18XA</t>
  </si>
  <si>
    <t>5/3603101XPW01A</t>
  </si>
  <si>
    <t>5/3641101AKN01A</t>
  </si>
  <si>
    <t>5/3641101XKN01A</t>
  </si>
  <si>
    <t>5/3658200XKZ16A</t>
  </si>
  <si>
    <t>5/3701011AED01A</t>
  </si>
  <si>
    <t>5/3701200AED01A</t>
  </si>
  <si>
    <t>5/3701400AED01A</t>
  </si>
  <si>
    <t>5/3701500AED01A</t>
  </si>
  <si>
    <t>5/3707100XEG01B</t>
  </si>
  <si>
    <t>5/3781100XSZ08A</t>
  </si>
  <si>
    <t>5/3787230XK00XB</t>
  </si>
  <si>
    <t>5/3787240XK00XB</t>
  </si>
  <si>
    <t>5/3921101XKN01A</t>
  </si>
  <si>
    <t>5/4121101XPW01A</t>
  </si>
  <si>
    <t>5/4133101XPW01A</t>
  </si>
  <si>
    <t>5/5206102XPW01A</t>
  </si>
  <si>
    <t>5/5206102XPW01B</t>
  </si>
  <si>
    <t>5/5509121XKN01A</t>
  </si>
  <si>
    <t>5/5514101XPW03A</t>
  </si>
  <si>
    <t>5/6101700XKN01A</t>
  </si>
  <si>
    <t>5/8103081XB00XA</t>
  </si>
  <si>
    <t>5/8104300XKR02A</t>
  </si>
  <si>
    <t>5/8104400ASZ08A</t>
  </si>
  <si>
    <t>5/8104400BK00XA</t>
  </si>
  <si>
    <t>5/8104400CJ08XA</t>
  </si>
  <si>
    <t>5/8104400XKY28B</t>
  </si>
  <si>
    <t>5/8104400XKZ16A</t>
  </si>
  <si>
    <t>5/8104400XKZ96A</t>
  </si>
  <si>
    <t>5/8104510AS56XA</t>
  </si>
  <si>
    <t>5/8505300XPW01A</t>
  </si>
  <si>
    <t>5/KITSEGWINGLE7</t>
  </si>
  <si>
    <t>5/PROTTOLVAPOER</t>
  </si>
  <si>
    <t>5/ZM001M1702010</t>
  </si>
  <si>
    <t>58/3707100XEN01</t>
  </si>
  <si>
    <t>59/KITSEGJUMPER</t>
  </si>
  <si>
    <t>6/G1010170104A1</t>
  </si>
  <si>
    <t>6/G1010270100B1</t>
  </si>
  <si>
    <t>6/G2010740700A1</t>
  </si>
  <si>
    <t>6/H15T0120200AK</t>
  </si>
  <si>
    <t>6/R1010572202AC</t>
  </si>
  <si>
    <t>6/S1010630404AA</t>
  </si>
  <si>
    <t>6/S1010630406AA</t>
  </si>
  <si>
    <t>6/S1011240701BB</t>
  </si>
  <si>
    <t>6/TANQTOR15GLBI</t>
  </si>
  <si>
    <t>6/WBB3110980810</t>
  </si>
  <si>
    <t>7/1026080GH030A</t>
  </si>
  <si>
    <t>7/1109170LG010L</t>
  </si>
  <si>
    <t>7/12442-0520F71</t>
  </si>
  <si>
    <t>7/1303010P3060Z</t>
  </si>
  <si>
    <t>7/1600100P306AZ</t>
  </si>
  <si>
    <t>7/3504020P3031N</t>
  </si>
  <si>
    <t>7/3504050P3031N</t>
  </si>
  <si>
    <t>7/3504300P3031N</t>
  </si>
  <si>
    <t>7/3774200U1532A</t>
  </si>
  <si>
    <t>7/5205060P3010K</t>
  </si>
  <si>
    <t>7/5205070P3010K</t>
  </si>
  <si>
    <t>7/8104102P306AA</t>
  </si>
  <si>
    <t>7/916814015-M18</t>
  </si>
  <si>
    <t>7/E092-C120-B03</t>
  </si>
  <si>
    <t>7/KITSEGGRANDS3</t>
  </si>
  <si>
    <t>1/09409M07356000</t>
  </si>
  <si>
    <t>1/09482M00609000</t>
  </si>
  <si>
    <t>1/09482M00636000</t>
  </si>
  <si>
    <t>1/11198M79F00000</t>
  </si>
  <si>
    <t>1/12911M84420000</t>
  </si>
  <si>
    <t>1/12915M84420000</t>
  </si>
  <si>
    <t>1/13780M53T50000</t>
  </si>
  <si>
    <t>1/13780M62S00000</t>
  </si>
  <si>
    <t>1/13780M67L00000</t>
  </si>
  <si>
    <t>1/13780M68P01000</t>
  </si>
  <si>
    <t>1/13780M74L00000</t>
  </si>
  <si>
    <t>1/13780M76SA0000</t>
  </si>
  <si>
    <t>1/13780M81R10000</t>
  </si>
  <si>
    <t>1/13870M53M00000</t>
  </si>
  <si>
    <t>1/13870M53M30000</t>
  </si>
  <si>
    <t>1/15410M53M00000</t>
  </si>
  <si>
    <t>1/15410M60M00000</t>
  </si>
  <si>
    <t>1/15410M79F01000</t>
  </si>
  <si>
    <t>1/15410M79M00000</t>
  </si>
  <si>
    <t>1/16510M65L10000</t>
  </si>
  <si>
    <t>1/16510M68K00000</t>
  </si>
  <si>
    <t>1/17521M68K50000</t>
  </si>
  <si>
    <t>1/17521M68P00000</t>
  </si>
  <si>
    <t>1/17521M79G20000</t>
  </si>
  <si>
    <t>1/17670M83F00000</t>
  </si>
  <si>
    <t>1/17698M53M00000</t>
  </si>
  <si>
    <t>1/17920M75F00000</t>
  </si>
  <si>
    <t>1/22100M80T00000</t>
  </si>
  <si>
    <t>1/22400M80T00000</t>
  </si>
  <si>
    <t>1/35802M76T01000</t>
  </si>
  <si>
    <t>1/37019M53M91000</t>
  </si>
  <si>
    <t>1/43440M68K00000</t>
  </si>
  <si>
    <t>1/43511M68P70000</t>
  </si>
  <si>
    <t>1/46860M68K10000</t>
  </si>
  <si>
    <t>1/48810M62S00OTS</t>
  </si>
  <si>
    <t>1/53200M54T00000</t>
  </si>
  <si>
    <t>1/53200M68K10000</t>
  </si>
  <si>
    <t>1/53200M73T00000</t>
  </si>
  <si>
    <t>1/53200M79F00000</t>
  </si>
  <si>
    <t>1/55211M80T00000</t>
  </si>
  <si>
    <t>1/55311M60M00000</t>
  </si>
  <si>
    <t>1/55311M69P20000</t>
  </si>
  <si>
    <t>1/55810M60M00000</t>
  </si>
  <si>
    <t>1/55810M62S10000</t>
  </si>
  <si>
    <t>1/55810M75J30000</t>
  </si>
  <si>
    <t>1/55810M80T00000</t>
  </si>
  <si>
    <t>1/55910M68P00000</t>
  </si>
  <si>
    <t>1/58270M62S10000</t>
  </si>
  <si>
    <t>1/71742M53M000CB</t>
  </si>
  <si>
    <t>1/71771M55T00000</t>
  </si>
  <si>
    <t>1/72371M56R105PK</t>
  </si>
  <si>
    <t>1/72380M67P005PK</t>
  </si>
  <si>
    <t>1/72811M81R00000</t>
  </si>
  <si>
    <t>1/95141M55R30000</t>
  </si>
  <si>
    <t>1/95141M60M00000</t>
  </si>
  <si>
    <t>1/95141M62S00000</t>
  </si>
  <si>
    <t>1/95141M65L00000</t>
  </si>
  <si>
    <t>1/95141M68P00000</t>
  </si>
  <si>
    <t>1/95850M55R00000</t>
  </si>
  <si>
    <t>1/95850M68P00000</t>
  </si>
  <si>
    <t>1/95850M79M00000</t>
  </si>
  <si>
    <t>1/95861M74L00000</t>
  </si>
  <si>
    <t>1/99000M24120781</t>
  </si>
  <si>
    <t>1/99000M24121036</t>
  </si>
  <si>
    <t>1/99000M24121041</t>
  </si>
  <si>
    <t>1/99000M24121044</t>
  </si>
  <si>
    <t>10/00720 118 101</t>
  </si>
  <si>
    <t>10/00720 118 104</t>
  </si>
  <si>
    <t>10/00890 321 186</t>
  </si>
  <si>
    <t>10/00892 075 002</t>
  </si>
  <si>
    <t>10/00893 100 300</t>
  </si>
  <si>
    <t>10/10893 114 114</t>
  </si>
  <si>
    <t>10/30720 718 011</t>
  </si>
  <si>
    <t>10/AG00000Q85EFB</t>
  </si>
  <si>
    <t>10/AG00001346K01</t>
  </si>
  <si>
    <t>10/AG00001349K01</t>
  </si>
  <si>
    <t>10/AG00001351K01</t>
  </si>
  <si>
    <t>10/AG00001352K01</t>
  </si>
  <si>
    <t>10/AG00001353K01</t>
  </si>
  <si>
    <t>10/AG00001356K01</t>
  </si>
  <si>
    <t>10/AG00001359K01</t>
  </si>
  <si>
    <t>10/AG00001360K01</t>
  </si>
  <si>
    <t>10/AG00001361K01</t>
  </si>
  <si>
    <t>10/AG00001363K01</t>
  </si>
  <si>
    <t>10/AG00001379K00</t>
  </si>
  <si>
    <t>10/AG00001379K01</t>
  </si>
  <si>
    <t>10/AG00001945000</t>
  </si>
  <si>
    <t>10/ALARMASGF2657</t>
  </si>
  <si>
    <t>10/FOCOS1-24V001</t>
  </si>
  <si>
    <t>10/FOCOSSALON001</t>
  </si>
  <si>
    <t>10/KITSEGDZIRESD</t>
  </si>
  <si>
    <t>10/KITSEGNWBT50P</t>
  </si>
  <si>
    <t>10/KITSEGSUZJIMN</t>
  </si>
  <si>
    <t>10/N1KITSEGNCS15</t>
  </si>
  <si>
    <t>10/TANQTOR12GLBI</t>
  </si>
  <si>
    <t>11/1109100E898-2</t>
  </si>
  <si>
    <t>2/13780M65L00000</t>
  </si>
  <si>
    <t>2/FOCOLAGRIAMBAR</t>
  </si>
  <si>
    <t>2/N1KITSEGBT50CH</t>
  </si>
  <si>
    <t>5/1111402XED96CL</t>
  </si>
  <si>
    <t>5/SEGLLANWINGLE5</t>
  </si>
  <si>
    <t>5/ZM015B11601307</t>
  </si>
  <si>
    <t>58/1109110XKU00A</t>
  </si>
  <si>
    <t>58/1701030ACM51A</t>
  </si>
  <si>
    <t>58/1701040ACM51A</t>
  </si>
  <si>
    <t>58/3501110XKU0PA</t>
  </si>
  <si>
    <t>58/3502110XKU0PA</t>
  </si>
  <si>
    <t>58/3502110XSZ08A</t>
  </si>
  <si>
    <t>58/8104400ASZ08A</t>
  </si>
  <si>
    <t>58/8107400XKU00A</t>
  </si>
  <si>
    <t>58/88201701001RL</t>
  </si>
  <si>
    <t>58/88201701002RL</t>
  </si>
  <si>
    <t>58/KITSEGHAVALH7</t>
  </si>
  <si>
    <t>59/16719700ZDOTS</t>
  </si>
  <si>
    <t>59/9683913280OTS</t>
  </si>
  <si>
    <t>6/KITSEGNEWSUVAN</t>
  </si>
  <si>
    <t>6/PC2010194202A1</t>
  </si>
  <si>
    <t>6/PC2010194203A1</t>
  </si>
  <si>
    <t>6/PC2010500301A3</t>
  </si>
  <si>
    <t>6/PC2010600101A1</t>
  </si>
  <si>
    <t>6/PC2010600201A1</t>
  </si>
  <si>
    <t>6/PC2010651401A1</t>
  </si>
  <si>
    <t>6/R10301600010CP</t>
  </si>
  <si>
    <t>7/1002050FD020-C</t>
  </si>
  <si>
    <t>7/1004021FB040-2</t>
  </si>
  <si>
    <t>7/1004030FB040ZJ</t>
  </si>
  <si>
    <t>7/1017110GH20001</t>
  </si>
  <si>
    <t>7/1025014GG010XZ</t>
  </si>
  <si>
    <t>7/1025300FD02003</t>
  </si>
  <si>
    <t>7/1105020D8253XZ</t>
  </si>
  <si>
    <t>7/2803200P306AXZ</t>
  </si>
  <si>
    <t>7/3103102-R002LJ</t>
  </si>
  <si>
    <t>7/3406700V6500XZ</t>
  </si>
  <si>
    <t>7/C2301-00100055</t>
  </si>
  <si>
    <t>7/C2302-00100052</t>
  </si>
  <si>
    <t>1/KITSEGNEWERTIGA</t>
  </si>
  <si>
    <t>1/KITSEGSUZBALENO</t>
  </si>
  <si>
    <t>1/KITSEGSUZCELNEW</t>
  </si>
  <si>
    <t>10/KITSEGCS35PLUS</t>
  </si>
  <si>
    <t>10/KITSEGCS55PLUS</t>
  </si>
  <si>
    <t>10/KITSEGGWWINGLE</t>
  </si>
  <si>
    <t>10/KITSEGNWBT50CH</t>
  </si>
  <si>
    <t>10/KITSEGNWDUSTER</t>
  </si>
  <si>
    <t>10/KITSEGNWREFINE</t>
  </si>
  <si>
    <t>10/N1KITSEGPOERMC</t>
  </si>
  <si>
    <t>11/D5H00-1105140A</t>
  </si>
  <si>
    <t>11/YF35A104-01075</t>
  </si>
  <si>
    <t>2/KITSEGNEWMAZDA2</t>
  </si>
  <si>
    <t>2/KITSEGNEWMAZDA3</t>
  </si>
  <si>
    <t>3/2360001540CPOTS</t>
  </si>
  <si>
    <t>5/1001011XED70OTS</t>
  </si>
  <si>
    <t>5/1001012XED70OTS</t>
  </si>
  <si>
    <t>5/1001014XED70OTS</t>
  </si>
  <si>
    <t>5/1005023XED96OTS</t>
  </si>
  <si>
    <t>5/DPKITFILTROPOER</t>
  </si>
  <si>
    <t>5/PURIFICADORPOER</t>
  </si>
  <si>
    <t>5/ZM015A216010201</t>
  </si>
  <si>
    <t>5/ZM6T82BF1701513</t>
  </si>
  <si>
    <t>59/KITSECITJUMPER</t>
  </si>
  <si>
    <t>59/KITSEGAIRCROSS</t>
  </si>
  <si>
    <t>6/B511F2105010200</t>
  </si>
  <si>
    <t>6/B511F2801031800</t>
  </si>
  <si>
    <t>6/F202F2603011202</t>
  </si>
  <si>
    <t>6/F202F2603011801</t>
  </si>
  <si>
    <t>6/F202F2801013100</t>
  </si>
  <si>
    <t>6/S111F2101020100</t>
  </si>
  <si>
    <t>6/S111F2105010600</t>
  </si>
  <si>
    <t>6/S111F2602060800</t>
  </si>
  <si>
    <t>6/S111F2603010600</t>
  </si>
  <si>
    <t>6/S111F2603011000</t>
  </si>
  <si>
    <t>6/S111F2603030901</t>
  </si>
  <si>
    <t>6/S111F2603031601</t>
  </si>
  <si>
    <t>6/S111F2801031703</t>
  </si>
  <si>
    <t>6/S202F2105010200</t>
  </si>
  <si>
    <t>6/S202F2603010800</t>
  </si>
  <si>
    <t>6/S202F2603011400</t>
  </si>
  <si>
    <t>6/S202F2603030700</t>
  </si>
  <si>
    <t>6/S202F2603031200</t>
  </si>
  <si>
    <t>6/S203F2603010800</t>
  </si>
  <si>
    <t>6/S203F2603011300</t>
  </si>
  <si>
    <t>6/S203F2709020202</t>
  </si>
  <si>
    <t>6/S203F2807050100</t>
  </si>
  <si>
    <t>6/S302F2801032601</t>
  </si>
  <si>
    <t>6/S311F2602060501</t>
  </si>
  <si>
    <t>7/1008020GG010OTS</t>
  </si>
  <si>
    <t>7/1026110FA040-BJ</t>
  </si>
  <si>
    <t>7/3402100U1930OTS</t>
  </si>
  <si>
    <t>7/3402500U1930OTS</t>
  </si>
  <si>
    <t>7/3569100U1510-01</t>
  </si>
  <si>
    <t>7/5811200U3400OTS</t>
  </si>
  <si>
    <t>7/HC-6450-3502022</t>
  </si>
  <si>
    <t>7/HYF3502P442-030</t>
  </si>
  <si>
    <t>7/R-1701240-00-02</t>
  </si>
  <si>
    <t>7/ZMTC18A-1803010</t>
  </si>
  <si>
    <t>1/13780M79F00000-C</t>
  </si>
  <si>
    <t>1/KITSEGSUZSPRESSO</t>
  </si>
  <si>
    <t>1/KITSEGSWIFTSEDAN</t>
  </si>
  <si>
    <t>10/FOCOLAGRIMON001</t>
  </si>
  <si>
    <t>10/KITSEGNEWSCROSS</t>
  </si>
  <si>
    <t>10/N1KITSEGPOERAMT</t>
  </si>
  <si>
    <t>10/PATINPROTECPOER</t>
  </si>
  <si>
    <t>11/B-1701291-40-00</t>
  </si>
  <si>
    <t>11/M-1604854-30-00</t>
  </si>
  <si>
    <t>11/YF3501A104-030L</t>
  </si>
  <si>
    <t>2/8202103XKU24AOTS</t>
  </si>
  <si>
    <t>5/6804105XP2WXAOTS</t>
  </si>
  <si>
    <t>5/7000101XGW02AOTS</t>
  </si>
  <si>
    <t>5/PROTTOLVAWINGLE5</t>
  </si>
  <si>
    <t>5/PROTTOLVAWINGLE7</t>
  </si>
  <si>
    <t>58/1014010XEC01OTS</t>
  </si>
  <si>
    <t>59/KITSEGCITROENC5</t>
  </si>
  <si>
    <t>6/8202104XKU24AOTS</t>
  </si>
  <si>
    <t>6/CD569F2105010300</t>
  </si>
  <si>
    <t>6/CD569F2603010700</t>
  </si>
  <si>
    <t>6/CD569F2603011200</t>
  </si>
  <si>
    <t>6/CD569F2603011700</t>
  </si>
  <si>
    <t>6/CD569F2603030700</t>
  </si>
  <si>
    <t>6/CD569F2801032700</t>
  </si>
  <si>
    <t>6/KITSEGCHANGANGVT</t>
  </si>
  <si>
    <t>6/KITSEGNEWJIMNY5P</t>
  </si>
  <si>
    <t>7/3500310U2230-F01</t>
  </si>
  <si>
    <t>7/3500700U2230-F01</t>
  </si>
  <si>
    <t>7/3501100/200P3010</t>
  </si>
  <si>
    <t>7/3504300P3031N0CP</t>
  </si>
  <si>
    <t>7/5522320U2400-R03</t>
  </si>
  <si>
    <t>7/7911701U344WAOTS</t>
  </si>
  <si>
    <t>7/S1021L2115300010</t>
  </si>
  <si>
    <t>1/15410M79F100000-C</t>
  </si>
  <si>
    <t>1/KITSEGSUZNWERTIGA</t>
  </si>
  <si>
    <t>10/KITSEGCHANGANGVT</t>
  </si>
  <si>
    <t>10/KITSEGJOLION-HYB</t>
  </si>
  <si>
    <t>10/KITSEGNWCS35PLUS</t>
  </si>
  <si>
    <t>10/KITSEGSUZNWCELGA</t>
  </si>
  <si>
    <t>10/KITSEGSUZNWJIMNY</t>
  </si>
  <si>
    <t>2/KITSEGNEWMAZDA2HB</t>
  </si>
  <si>
    <t>2/KITSEGNEWMAZDA3HB</t>
  </si>
  <si>
    <t>5/PURIFICADORWINGLE</t>
  </si>
  <si>
    <t>59/KITSECITBERLINGO</t>
  </si>
  <si>
    <t>59/KITSEGC3AIRCROSS</t>
  </si>
  <si>
    <t>6/B511F2601020300AA</t>
  </si>
  <si>
    <t>6/DPKITFILTROHUNTER</t>
  </si>
  <si>
    <t>6/S111F2807020300AA</t>
  </si>
  <si>
    <t>6/S203F2807050100AA</t>
  </si>
  <si>
    <t>7/2200001R0070-F021</t>
  </si>
  <si>
    <t>7/3500310U3400-F011</t>
  </si>
  <si>
    <t>7/3500700U3400-F031</t>
  </si>
  <si>
    <t>7/3503100S5500-F031</t>
  </si>
  <si>
    <t>7/3503100V6500-F011</t>
  </si>
  <si>
    <t>7/3503100V6510-F011</t>
  </si>
  <si>
    <t>7/3504100S5500-F031</t>
  </si>
  <si>
    <t>7/3504100V6510-F011</t>
  </si>
  <si>
    <t>7/3704020U2260-F001</t>
  </si>
  <si>
    <t>7/3704020V9020-F012</t>
  </si>
  <si>
    <t>7/8101100U2400-F011</t>
  </si>
  <si>
    <t>7/8126100R0090-F051</t>
  </si>
  <si>
    <t>7/8126100U1910-F011</t>
  </si>
  <si>
    <t>7/S1005L21153-00004</t>
  </si>
  <si>
    <t>7/ZMTC18A1803020CAN</t>
  </si>
  <si>
    <t>10/AGPML15W50CI4208L</t>
  </si>
  <si>
    <t>6/S2010400100CN01OTS</t>
  </si>
  <si>
    <t>7/YF3501N23203013023</t>
  </si>
  <si>
    <t>10/AGPLUBML15W40CI4CC</t>
  </si>
  <si>
    <t>10/AGPLUBML15W40CI4CL</t>
  </si>
  <si>
    <t>10/KITSEGSUZNWCELERIO</t>
  </si>
  <si>
    <t>10/KITSEGSUZSPRESSOGL</t>
  </si>
  <si>
    <t>11/L1300061102B1-3420</t>
  </si>
  <si>
    <t>59/KITSEGCITROENNEWC3</t>
  </si>
  <si>
    <t>10/SILICO250TERMORESIST</t>
  </si>
  <si>
    <t>5/11400ED01 49.0.450.906.</t>
  </si>
  <si>
    <t>5/1105110-E06/49.1.457.43</t>
  </si>
  <si>
    <t>BOLSA PLÁSTICA</t>
  </si>
  <si>
    <t>PRENSA DE EMBRAGUE</t>
  </si>
  <si>
    <t>(PE) DISCO DE EMBRAGUE</t>
  </si>
  <si>
    <t>KIT DE LIMPIEZA SISTEMA /</t>
  </si>
  <si>
    <t>PREM GDI OIL CHG 2 STEP K</t>
  </si>
  <si>
    <t>WN TURBO CLEANER</t>
  </si>
  <si>
    <t>WN DIESEL PURGE KIT (2P)</t>
  </si>
  <si>
    <t>WN DPF CLNR LATAM</t>
  </si>
  <si>
    <t>LUB ELFMATIC CVT 18B/1LT</t>
  </si>
  <si>
    <t>RODAMIENTO EXT MAZA</t>
  </si>
  <si>
    <t>ARANDELA 12X18</t>
  </si>
  <si>
    <t>FILTRO DE ACEITE  D1</t>
  </si>
  <si>
    <t>KIT DE SEGUROS D1</t>
  </si>
  <si>
    <t>ACEITE P/ ENGRANAJES 75W9</t>
  </si>
  <si>
    <t>650423 LIQUIDO DE FRENO D</t>
  </si>
  <si>
    <t>SEG-ESPC-G25 CROSSTREK C/</t>
  </si>
  <si>
    <t>651255 SUPER 3000 5W30</t>
  </si>
  <si>
    <t>JGO SEGUROS DE ESPEJOS EV</t>
  </si>
  <si>
    <t>ANILLO COBRE M18X25X1.6</t>
  </si>
  <si>
    <t>ANILLO ALUMINIO M18X25X1.</t>
  </si>
  <si>
    <t>KIT P/SIST. FRENO DOT4 (6</t>
  </si>
  <si>
    <t>KIT ANTIBACTERIAL P/LIMPI</t>
  </si>
  <si>
    <t>LIMPIADOR DE FRENO WURTH</t>
  </si>
  <si>
    <t>LUB LUBRITEK 10W40 SN MIN</t>
  </si>
  <si>
    <t>M-1 0W20 CASE 6X1L</t>
  </si>
  <si>
    <t>M-SUPER 3000 X4 5W-40 A3/</t>
  </si>
  <si>
    <t>MOBIL CVT 12X1L</t>
  </si>
  <si>
    <t>SUPER LIMPIADOR DE PARABR</t>
  </si>
  <si>
    <t>KIT LIMPIEZA INYECTORES 2</t>
  </si>
  <si>
    <t>FLEETGUARD PREMIER (53 GL</t>
  </si>
  <si>
    <t>KIT ACC. SEGUROS MAZDA 2</t>
  </si>
  <si>
    <t>EQP CON 4 CIL GLP ROROC P</t>
  </si>
  <si>
    <t>JGO PASTILLAS FRENO DEL</t>
  </si>
  <si>
    <t>JG DE PASTILLAS DELT</t>
  </si>
  <si>
    <t>JG DE ZAPATAS DE FRENO</t>
  </si>
  <si>
    <t>ARANDELA TAPON DE ACEITE</t>
  </si>
  <si>
    <t>TAPON ACEITE MOTOR</t>
  </si>
  <si>
    <t>TAPON CARTER</t>
  </si>
  <si>
    <t>JUNTA DE TAPON</t>
  </si>
  <si>
    <t>CADENA DE DISTRIBUCION</t>
  </si>
  <si>
    <t>FILTRO ACEITE</t>
  </si>
  <si>
    <t>FILTRO ACEITE TURBO DIESE</t>
  </si>
  <si>
    <t>FILTRO DE AIRE</t>
  </si>
  <si>
    <t>FILTRO AIRE</t>
  </si>
  <si>
    <t>FILTRO AIRE C3</t>
  </si>
  <si>
    <t>FILTRO AIRE TU5JP4 REFANT</t>
  </si>
  <si>
    <t>FILTRO AIRE MOTOR</t>
  </si>
  <si>
    <t>ELECTROVALVUALA DE ESCAPE</t>
  </si>
  <si>
    <t>SOPORTE TRAS MOTOR</t>
  </si>
  <si>
    <t>DISCO FRENO DEL</t>
  </si>
  <si>
    <t>PASTILLAS DE FRENO DEL NV</t>
  </si>
  <si>
    <t>BOMBIN FRENO POST (C3-A51</t>
  </si>
  <si>
    <t>FAJA ACCESORIOS</t>
  </si>
  <si>
    <t>BUJIA PRECALENTAMIENTO</t>
  </si>
  <si>
    <t>BUJIA ENCENDIDO MOTOR</t>
  </si>
  <si>
    <t>FILTRO CARBON</t>
  </si>
  <si>
    <t>FILTRO POLEN REF ANT 6447</t>
  </si>
  <si>
    <t>FILTRO DE POLEN</t>
  </si>
  <si>
    <t>(MKT) ACEITE</t>
  </si>
  <si>
    <t>LONA MARITIMA JAC</t>
  </si>
  <si>
    <t>ANTENA</t>
  </si>
  <si>
    <t>FILTRO DE ACEITE</t>
  </si>
  <si>
    <t>EQUIPO CONV 4 CILIN GLP M</t>
  </si>
  <si>
    <t>EQUIP CONV4CILIGLP MULT P</t>
  </si>
  <si>
    <t>EQP CON 4 CIL. GLP MUL P</t>
  </si>
  <si>
    <t>EQP CON4 CIL GLP MULT P/T</t>
  </si>
  <si>
    <t>EQ CONV 4 CIL GLP MUL P/T</t>
  </si>
  <si>
    <t>EQP CON 4CIL GLP M.POT P/</t>
  </si>
  <si>
    <t>KIT GLP LI02 B2.0 + TANQ</t>
  </si>
  <si>
    <t>KIT.GLP B2.0 + TANQ TOR 1</t>
  </si>
  <si>
    <t>KIT GLP HAVOL JOLION + TA</t>
  </si>
  <si>
    <t>C37 MEGAVAN 1.5L - 12 GL</t>
  </si>
  <si>
    <t>BASE ALUMINIO CAMARA</t>
  </si>
  <si>
    <t>FOCO NARVA 24V 5W</t>
  </si>
  <si>
    <t>SHAMPOO LIMPIA PARABRISAS</t>
  </si>
  <si>
    <t>PREMIUMBLUE7800 15W40</t>
  </si>
  <si>
    <t>ELEMENTO FILTRO COMBUSTIB</t>
  </si>
  <si>
    <t>CONJUNTO FILTRO ACEITE (J</t>
  </si>
  <si>
    <t>JUNTA GOMA</t>
  </si>
  <si>
    <t>BUJTA</t>
  </si>
  <si>
    <t>PERNO. SOPORTE IZQ</t>
  </si>
  <si>
    <t>PERNO. SOPORTE DER</t>
  </si>
  <si>
    <t>MUNON DEL IZQ</t>
  </si>
  <si>
    <t>FILTRO DE ACEITE MOTOR DF</t>
  </si>
  <si>
    <t>SPIRAX S3 G 80W BAL X 5GL</t>
  </si>
  <si>
    <t>KIT ACC. SEGURIDAD SUZUKI</t>
  </si>
  <si>
    <t>FILTRO COMBUSTIBLE -BJ506</t>
  </si>
  <si>
    <t>RODAJE PILOTO T8</t>
  </si>
  <si>
    <t>PROTECTOR DE ASIENTOS DE</t>
  </si>
  <si>
    <t>RECUBRIMIENTO CERAMIC GAR</t>
  </si>
  <si>
    <t>SPIRAX S6 AXME 75W140 20L</t>
  </si>
  <si>
    <t>ESPEJO RETROVISOR</t>
  </si>
  <si>
    <t>KIT ACC. SEGUROS DS</t>
  </si>
  <si>
    <t>LUB LUBTEK ULTIMA 0W20 SP</t>
  </si>
  <si>
    <t>LUB LUBTEK ULTIMA 10W40 S</t>
  </si>
  <si>
    <t>LUB LUBTEK ULTIMA 15W40 S</t>
  </si>
  <si>
    <t>LUB LUBTEK ULTIMA 15W-40</t>
  </si>
  <si>
    <t>LUB LUBTEK ULTIMA 5W30 C4</t>
  </si>
  <si>
    <t>LUB LUBTEK ULTIMA 5W30 SP</t>
  </si>
  <si>
    <t>LUB LUBTEK ULTMATE 5W30 S</t>
  </si>
  <si>
    <t>LUB LUBTEK ULTIMATE 5W-30</t>
  </si>
  <si>
    <t>LUB TOTAL 5W40</t>
  </si>
  <si>
    <t>LUB LUBRITEK ULTMATE 75W9</t>
  </si>
  <si>
    <t>LUB LUBTEK ULTMATE 80W90</t>
  </si>
  <si>
    <t>LUB LUBTEK ULTIMA ATF MVE</t>
  </si>
  <si>
    <t>BAT HK MF55D23L 60 AH 550</t>
  </si>
  <si>
    <t>ALARMA PRESTIGE 48Z</t>
  </si>
  <si>
    <t>FILTRO COMBUSTIBLE FF5706</t>
  </si>
  <si>
    <t>MANGUERA RADIADOR DER</t>
  </si>
  <si>
    <t>MANGUERA DE RADIADOR</t>
  </si>
  <si>
    <t>SENSOR POSICION CIGsEAL</t>
  </si>
  <si>
    <t>RETEN CORONA DEL</t>
  </si>
  <si>
    <t>MANGUERA</t>
  </si>
  <si>
    <t>MANGUERA RADIADOR IZQ</t>
  </si>
  <si>
    <t>KIT 2 REVESTIMIENTO</t>
  </si>
  <si>
    <t>(PE)RODAMIENTO EMBRAGUE H</t>
  </si>
  <si>
    <t>MANGUERA BY PASS</t>
  </si>
  <si>
    <t>BANDEJA SUPERIOR DEL DER</t>
  </si>
  <si>
    <t>BANDEJA DEL SUP IZQ</t>
  </si>
  <si>
    <t>(PE)BANDEJA INF DEL DER</t>
  </si>
  <si>
    <t>POLEA DE DISTRIBUCION</t>
  </si>
  <si>
    <t>GOLILLA TAPON CARTER</t>
  </si>
  <si>
    <t>GUARDAPOLVO PIN CALIPER</t>
  </si>
  <si>
    <t>COVERTOR</t>
  </si>
  <si>
    <t>TEMPLADOR DE FAJA ACCESOR</t>
  </si>
  <si>
    <t>BASE TAPA COMBUSTIBLE</t>
  </si>
  <si>
    <t>RODAMIENTO EMPUJE</t>
  </si>
  <si>
    <t>FILTRO A/C</t>
  </si>
  <si>
    <t>PONCHO DE PALANCA DE CAMB</t>
  </si>
  <si>
    <t>TAPA LLANTA</t>
  </si>
  <si>
    <t>ALMOHADILLA DE PIN CALIPE</t>
  </si>
  <si>
    <t>TERMOSTATO</t>
  </si>
  <si>
    <t>FILTRO ACEITE DE MOTOR</t>
  </si>
  <si>
    <t>PIN DE CALIPER</t>
  </si>
  <si>
    <t>ZAPATAS</t>
  </si>
  <si>
    <t>EMPAQ TAPA VALVULAS</t>
  </si>
  <si>
    <t>PLATO EMBRAGUE</t>
  </si>
  <si>
    <t>BARRA ESTABILIZADORA DEL</t>
  </si>
  <si>
    <t>BUJES BARRA ESTABILIZADOR</t>
  </si>
  <si>
    <t>TEMPLADOR DE FAJA A/C</t>
  </si>
  <si>
    <t>TAMBOR FRENO</t>
  </si>
  <si>
    <t>ELEMENTO COMBUSTIBLE</t>
  </si>
  <si>
    <t>DISCO DE EMBRAGUE</t>
  </si>
  <si>
    <t>CALIPER DEL IZQ</t>
  </si>
  <si>
    <t>CORREA ALTERNADOR</t>
  </si>
  <si>
    <t>CALIPER DEL DER</t>
  </si>
  <si>
    <t>TRAPECIO SUP DELT LH</t>
  </si>
  <si>
    <t>TRAPECIO SUP DELT RH</t>
  </si>
  <si>
    <t>FAROL PARACHOQUE IZQ</t>
  </si>
  <si>
    <t>PASTILLAS DE FRENO</t>
  </si>
  <si>
    <t>CORREA ACCESORIOS</t>
  </si>
  <si>
    <t>AMORTIGUADOR TRAS</t>
  </si>
  <si>
    <t>BANDEJA SUSPENSION DEL IZ</t>
  </si>
  <si>
    <t>BANDEJA SUSPENSION DEL DE</t>
  </si>
  <si>
    <t>AMORTIGUADOR DEL</t>
  </si>
  <si>
    <t>FILTRO COMBUSTIBLE</t>
  </si>
  <si>
    <t>JGO PASTILLAS DE FRENO DE</t>
  </si>
  <si>
    <t>FILTRO AC</t>
  </si>
  <si>
    <t>DISCO DE FRENO TRAS</t>
  </si>
  <si>
    <t>PASTILLAS FRENO DEL</t>
  </si>
  <si>
    <t>CAZOLETA AMORTIGUADOR</t>
  </si>
  <si>
    <t>CILINDRO PTA DEL IZQ</t>
  </si>
  <si>
    <t>CILINDRO DE FRENO</t>
  </si>
  <si>
    <t>AMORTIGUADOR DEL DER</t>
  </si>
  <si>
    <t>AMORTIGUADOR DEL IZQ</t>
  </si>
  <si>
    <t>PASTILLAS FRENO TRAS</t>
  </si>
  <si>
    <t>FOCO LAGRIMON AMBAR</t>
  </si>
  <si>
    <t>BUJIA</t>
  </si>
  <si>
    <t>RETEN</t>
  </si>
  <si>
    <t>RETEN DIFERENCIAL</t>
  </si>
  <si>
    <t>TAPA CONSOLA</t>
  </si>
  <si>
    <t>PLUMILLA DELANTERA DERECH</t>
  </si>
  <si>
    <t>TERMINAL DIR EXT</t>
  </si>
  <si>
    <t>DISCO DE FRENO</t>
  </si>
  <si>
    <t>(PE)RODAMIENTO EMBRAGUE</t>
  </si>
  <si>
    <t>BOBINA ENCENDIDO</t>
  </si>
  <si>
    <t>SENSOR AIRE COMBUSTIBLE</t>
  </si>
  <si>
    <t>SENSOR OXIGENO</t>
  </si>
  <si>
    <t>CALCULADOR INYECCION</t>
  </si>
  <si>
    <t>DISTRIBUIDOR COMBUSTIBLE</t>
  </si>
  <si>
    <t>VALVULA PCV</t>
  </si>
  <si>
    <t>(PE)DISCO DE EMBRAGUE</t>
  </si>
  <si>
    <t>SENSOR POSICION LEVA</t>
  </si>
  <si>
    <t>[INT: PE07133A0A] FILTRO</t>
  </si>
  <si>
    <t>(PE)FILTRO AIRE</t>
  </si>
  <si>
    <t>REMACHE CIEGO</t>
  </si>
  <si>
    <t>RODAMIENTO PILOTO</t>
  </si>
  <si>
    <t>RETEN CIGUEAL</t>
  </si>
  <si>
    <t>RETEN EMBRAGUE</t>
  </si>
  <si>
    <t>CILINDRO DE FRENO TRAS</t>
  </si>
  <si>
    <t>PORTA FOCO</t>
  </si>
  <si>
    <t>SOQUETE DE FAROL</t>
  </si>
  <si>
    <t>(PE) PASTILLAS FRENO DEL</t>
  </si>
  <si>
    <t>JGO DE ZAPATAS DE FRENO P</t>
  </si>
  <si>
    <t>GUIA DE CADENA</t>
  </si>
  <si>
    <t>CADENA DISTRIBUCION</t>
  </si>
  <si>
    <t>TENSOR CINTA</t>
  </si>
  <si>
    <t>GUIA DE CADENA INF.</t>
  </si>
  <si>
    <t>BUJE BRAZO TENSOR</t>
  </si>
  <si>
    <t>CUBRE SOQUETE FOCO DEL</t>
  </si>
  <si>
    <t>PATINES DE FRENO</t>
  </si>
  <si>
    <t>(PE) CORREA ACCESORIOS</t>
  </si>
  <si>
    <t>TENSOR CORREA</t>
  </si>
  <si>
    <t>TAPON DE CARTER</t>
  </si>
  <si>
    <t>LUBRICANTE ATF WSI 1L</t>
  </si>
  <si>
    <t>LUBRICANTE TRANSAXLE 5W30</t>
  </si>
  <si>
    <t>DISCO DE FRENO DELT.</t>
  </si>
  <si>
    <t>SELLO TAPON CARTER</t>
  </si>
  <si>
    <t>TENSOR CORREA DISTRIBUCIO</t>
  </si>
  <si>
    <t>TAPA ACEITE MOTOR</t>
  </si>
  <si>
    <t>CORREA DE DISTRIBUCION</t>
  </si>
  <si>
    <t>CORREA BOMBA DE AGUA</t>
  </si>
  <si>
    <t>BUJIAS</t>
  </si>
  <si>
    <t>RODAMIENTO INT MAZA DEL</t>
  </si>
  <si>
    <t>KIT ACC. HAVAL H1</t>
  </si>
  <si>
    <t>KIT ACC. SEGUROS CITROËN</t>
  </si>
  <si>
    <t>RODAJE TENSOR</t>
  </si>
  <si>
    <t>FAJA DISTRIBUCION</t>
  </si>
  <si>
    <t>FILTRO ACEITE (G1010)</t>
  </si>
  <si>
    <t>(SALE) TERMOSTATO</t>
  </si>
  <si>
    <t>RODAJE PILOTO</t>
  </si>
  <si>
    <t>DISCO EMBRAGUE</t>
  </si>
  <si>
    <t>CORREA COMPRESOR</t>
  </si>
  <si>
    <t>KIT DE SEGURO CHANGAN M90</t>
  </si>
  <si>
    <t>DEPOSITO REFRIGERANTE</t>
  </si>
  <si>
    <t>METAL AXIAL</t>
  </si>
  <si>
    <t>RETEN EJE LEVAS</t>
  </si>
  <si>
    <t>RETEN VALVULA MOTOR</t>
  </si>
  <si>
    <t>(PE) CORREA ACC</t>
  </si>
  <si>
    <t>CORREA DISTRIBUCION</t>
  </si>
  <si>
    <t>PRE FILTRO COMBUSTIBLE</t>
  </si>
  <si>
    <t>KIT DE MANTENIMIENTO JAC</t>
  </si>
  <si>
    <t>KIT DE SEGUROS JS3</t>
  </si>
  <si>
    <t>KIT DE SEGUROS JAC JS4</t>
  </si>
  <si>
    <t>KIT DE SEGURO JAC JS8</t>
  </si>
  <si>
    <t>ARANDELA TAPA DE CARTER</t>
  </si>
  <si>
    <t>15208AA170 FILTRO ACEITE</t>
  </si>
  <si>
    <t>FILTRO CALEFACCION</t>
  </si>
  <si>
    <t>JGO SEGURO ESPEJOS FOREST</t>
  </si>
  <si>
    <t>22401AA920 BUJIA</t>
  </si>
  <si>
    <t>FAJA DE DISTRIBUCION GRAN</t>
  </si>
  <si>
    <t>COLLARIN EMBRAGUE</t>
  </si>
  <si>
    <t>FAJA DE BOMBA DE ACEITE</t>
  </si>
  <si>
    <t>JGO DE ZAPATAS</t>
  </si>
  <si>
    <t>PERNO DE CALIPER</t>
  </si>
  <si>
    <t>FAJA A/C</t>
  </si>
  <si>
    <t>FILTRO DE A/C</t>
  </si>
  <si>
    <t>FILTRO DE ACEITE ( TRANSM</t>
  </si>
  <si>
    <t>FILTRO F-781</t>
  </si>
  <si>
    <t>T DE AGUA 19X19X16</t>
  </si>
  <si>
    <t>CODO AGUA PLASTICA D 15 R</t>
  </si>
  <si>
    <t>CODO DE AGUA A 90 PARA RE</t>
  </si>
  <si>
    <t>SENSOR MAP GAS P-T ECO-EV</t>
  </si>
  <si>
    <t>ECU 5TA GEN LANDIRENZO OM</t>
  </si>
  <si>
    <t>ACCESORIOS INYECTORES BOX</t>
  </si>
  <si>
    <t>SENSOR DE TEMPERATURA 15X</t>
  </si>
  <si>
    <t>KIT REPAR SOLEN EV SERIE</t>
  </si>
  <si>
    <t>KIT GLP MANTENIMIENTO RED</t>
  </si>
  <si>
    <t>FILTRO DE GLP</t>
  </si>
  <si>
    <t>TANQUE TOROIDAL 600X200 a</t>
  </si>
  <si>
    <t>AXS.Sensor de Retroceso A</t>
  </si>
  <si>
    <t>FILTRO (FF5612)</t>
  </si>
  <si>
    <t>KIT DE SEGUROS CX-3</t>
  </si>
  <si>
    <t>KIT DE SEGURO JAC JS2</t>
  </si>
  <si>
    <t>KIT DE SEGURO JAC JS4</t>
  </si>
  <si>
    <t>KIT DE SEGURO JAC JS6</t>
  </si>
  <si>
    <t>LIQ FRENO LUBRITEK DOT4 C</t>
  </si>
  <si>
    <t>AXS. 9'' SUZUKI CENTER FA</t>
  </si>
  <si>
    <t>ARANDELA DE PRESION MENOR</t>
  </si>
  <si>
    <t>ARANDELA DE PRESION ALTA</t>
  </si>
  <si>
    <t>M-DELVAC 1 GEAR OIL 75W90</t>
  </si>
  <si>
    <t>TOTAL FLUIDMATIC HBF 3 B0</t>
  </si>
  <si>
    <t>TOTAL FLUIDMATIC MV LV B1</t>
  </si>
  <si>
    <t>FILTRO DE ACEITE 1035-104</t>
  </si>
  <si>
    <t>FILTRO ACEITE - LF16015</t>
  </si>
  <si>
    <t>FILTRO SECADOR AIRE</t>
  </si>
  <si>
    <t>MANGUERA AGUA</t>
  </si>
  <si>
    <t>EJE CARDAN</t>
  </si>
  <si>
    <t>DISCO DE FRENO DEL 2WD</t>
  </si>
  <si>
    <t>RODAMIENTO AMORT DEL</t>
  </si>
  <si>
    <t>DISCO DE FRENO POST</t>
  </si>
  <si>
    <t>JGO PASTILLAS DE FRENO</t>
  </si>
  <si>
    <t>BISEL ALZAVIDRIO DEL DER</t>
  </si>
  <si>
    <t>PASTILLAS FRENO TRASERA</t>
  </si>
  <si>
    <t>JGO PASTILLAS DE FRENO TR</t>
  </si>
  <si>
    <t>FARO TRASERO IZQ</t>
  </si>
  <si>
    <t>SWITCH FRENO PEDAL</t>
  </si>
  <si>
    <t>MANGUERA RETORNO</t>
  </si>
  <si>
    <t>JGO PASTILLAS FRENO</t>
  </si>
  <si>
    <t>(PE) FILTRO AIRE</t>
  </si>
  <si>
    <t>(PE)PASTILLAS FRENO DEL</t>
  </si>
  <si>
    <t>ASIENTO ESPIRAL DEL</t>
  </si>
  <si>
    <t>JGO PASTILLAS TRAS</t>
  </si>
  <si>
    <t>AMORTIGUADOR TRASERO</t>
  </si>
  <si>
    <t>AMORTIGUADOR POST</t>
  </si>
  <si>
    <t>ANCLAJE BISEL SUP MASCARA</t>
  </si>
  <si>
    <t>MOLDURA TAPABARRO DEL DER</t>
  </si>
  <si>
    <t>FOCO PATENTE</t>
  </si>
  <si>
    <t>DISCO FRENO TRAS</t>
  </si>
  <si>
    <t>DISCO DE FRENO DEL</t>
  </si>
  <si>
    <t>ATF-FZ ACEITE CAJA TRANSM</t>
  </si>
  <si>
    <t>MAZDA LONG LIFE HYPOID OI</t>
  </si>
  <si>
    <t>(PE)PASTILLAS FRENO TRAS</t>
  </si>
  <si>
    <t>BANDEJA INF DER</t>
  </si>
  <si>
    <t>BANDEJA INF IZQ</t>
  </si>
  <si>
    <t>SOPORTE NEBLINERO DER</t>
  </si>
  <si>
    <t>AMORTIGUADOR DER</t>
  </si>
  <si>
    <t>AMORTIGUADOR IZQ</t>
  </si>
  <si>
    <t>MOLDURA TAPABARRO TRAS DE</t>
  </si>
  <si>
    <t>PLUMILLA DELANTERA IZQUIE</t>
  </si>
  <si>
    <t>MOLDURA TRAS DER</t>
  </si>
  <si>
    <t>SOPORTE DE BATERIA</t>
  </si>
  <si>
    <t>BUJE ESTABILIZADOR DEL</t>
  </si>
  <si>
    <t>KIT SEGUROS CX-60 MAZDA</t>
  </si>
  <si>
    <t>KIT DE SEGUROS CX90</t>
  </si>
  <si>
    <t>KIT ACC. SEGUROS MAZDA 3</t>
  </si>
  <si>
    <t>SET PASTILLAS DE FRENO</t>
  </si>
  <si>
    <t>JGO.PASTILLAS DE FRENO</t>
  </si>
  <si>
    <t>(PE) FILTRO COMBUSTIBLE</t>
  </si>
  <si>
    <t>MANGUERA RADIADOR EN</t>
  </si>
  <si>
    <t>TAPA DEPOSITO AUX</t>
  </si>
  <si>
    <t>(PE)PRENSA EMBRAGUE</t>
  </si>
  <si>
    <t>SENSOR AIRE &amp; COMBUSTIBLE</t>
  </si>
  <si>
    <t>TENSOR CORREA AAC</t>
  </si>
  <si>
    <t>FOCO DELANTERO</t>
  </si>
  <si>
    <t>BANDEJA DELT INF DER</t>
  </si>
  <si>
    <t>BANDEJA DELT INF IZQ</t>
  </si>
  <si>
    <t>DISCO FRENO POST</t>
  </si>
  <si>
    <t>DISCO FRENO DELT</t>
  </si>
  <si>
    <t>PASTILLAS DELT</t>
  </si>
  <si>
    <t>CUBIERTA SENSOR IZQ</t>
  </si>
  <si>
    <t>(PE)DISCO DE FRENO DEL</t>
  </si>
  <si>
    <t>FOCO PORT TRAS DER</t>
  </si>
  <si>
    <t>BISEL INTERRUPTOR</t>
  </si>
  <si>
    <t>SWITCH ALZAVIDRIOS PRINCI</t>
  </si>
  <si>
    <t>TOPE DE SUSPENSI.N</t>
  </si>
  <si>
    <t>(SALE) PLATO Y DISCO EMBR</t>
  </si>
  <si>
    <t>TAMBOR DE FRENO TRAS</t>
  </si>
  <si>
    <t>CHAPA PUERTA DER</t>
  </si>
  <si>
    <t>CHAPA PORTALON DER</t>
  </si>
  <si>
    <t>CHAPA PORTALON IZQ</t>
  </si>
  <si>
    <t>CREMALLERA DER</t>
  </si>
  <si>
    <t>CHAPA IZQUIERDA</t>
  </si>
  <si>
    <t>(SALE) TORNILLO TENSOR AC</t>
  </si>
  <si>
    <t>JGO EMPAQ MOTOR</t>
  </si>
  <si>
    <t>CORREA</t>
  </si>
  <si>
    <t>KIT CORREA ACC 1,6</t>
  </si>
  <si>
    <t>KIT CORREA ACC</t>
  </si>
  <si>
    <t>KIT CORREA ACC 2.0</t>
  </si>
  <si>
    <t>VALVULA PVC</t>
  </si>
  <si>
    <t>CORREA AC</t>
  </si>
  <si>
    <t>KIT CORREA DISTRIBUCION 2</t>
  </si>
  <si>
    <t>KIT FAJA DISTRIBUCION</t>
  </si>
  <si>
    <t>KIT DE DISTRIBUCION</t>
  </si>
  <si>
    <t>RETEN CIGUENAL DEL</t>
  </si>
  <si>
    <t>FILTRO DE ACEITE MOT 2.0</t>
  </si>
  <si>
    <t>FILTRO ACEITE AK</t>
  </si>
  <si>
    <t>FILTRO AIRE [16546F101]</t>
  </si>
  <si>
    <t>FILTRO DE AIRE MASTER</t>
  </si>
  <si>
    <t>GOMA SOPORTE INF RADIADOR</t>
  </si>
  <si>
    <t>FILTRO DE AIRE ACONDICION</t>
  </si>
  <si>
    <t>FILTRO POLEN</t>
  </si>
  <si>
    <t>TARJETA</t>
  </si>
  <si>
    <t>RODAJE</t>
  </si>
  <si>
    <t>PIOLA FRENO DE ESTACIONAM</t>
  </si>
  <si>
    <t>RETEN DE PALIER DER/IZQ K</t>
  </si>
  <si>
    <t>JGO. DISCOS DE FRENO DEL</t>
  </si>
  <si>
    <t>JGO DISCO FRENO DEL</t>
  </si>
  <si>
    <t>RODAMIENTO MAZA DEL</t>
  </si>
  <si>
    <t>JGO DE PASTAILLAS DEL</t>
  </si>
  <si>
    <t>JGO DE PASTILLAS TRAS F 2</t>
  </si>
  <si>
    <t>JGO PASTILLAS DEL USAR 77</t>
  </si>
  <si>
    <t>PASTILLA FRENO JGO</t>
  </si>
  <si>
    <t>PASTILLA FRENO</t>
  </si>
  <si>
    <t>PASTILLAS DELANTERAS</t>
  </si>
  <si>
    <t>JGO.PASTILLAS TR</t>
  </si>
  <si>
    <t>BALATAS FRENO</t>
  </si>
  <si>
    <t>CA©ERIA DIRECCION</t>
  </si>
  <si>
    <t>O-RING CANERIA DIRECCION</t>
  </si>
  <si>
    <t>AMORTIGUADOR DEL 2.0</t>
  </si>
  <si>
    <t>AMORTIGUADOR TRAS 4X2</t>
  </si>
  <si>
    <t>AMORTIGUADOR POSTERIOR</t>
  </si>
  <si>
    <t>MOLD PARACHOQDEL INF IZQ</t>
  </si>
  <si>
    <t>MASCARA</t>
  </si>
  <si>
    <t>TAPABARRO DEL IZQ</t>
  </si>
  <si>
    <t>MOLDURA TAPABARROS DEL IZ</t>
  </si>
  <si>
    <t>(SALE) CHAPA DE CAPOT</t>
  </si>
  <si>
    <t>AISLADOR CAPOT</t>
  </si>
  <si>
    <t>RETEN DL CIGUENAL</t>
  </si>
  <si>
    <t>SELLO</t>
  </si>
  <si>
    <t>JUNTA TORICA</t>
  </si>
  <si>
    <t>BALATAS FRENO TRAS 4X2</t>
  </si>
  <si>
    <t>KIT FAJA ACCESORIOS M9T</t>
  </si>
  <si>
    <t>PERNO</t>
  </si>
  <si>
    <t>TUERCA DE MAZA TRAS</t>
  </si>
  <si>
    <t>GOMA SWICHT DE PUERTA</t>
  </si>
  <si>
    <t>JUNTA DE MULTIPLE</t>
  </si>
  <si>
    <t>SWITCH DE FRENO</t>
  </si>
  <si>
    <t>PERNO DE FIJACION K4M</t>
  </si>
  <si>
    <t>O-RING</t>
  </si>
  <si>
    <t>JUNTA DE ADMISI.N</t>
  </si>
  <si>
    <t>SOP PARACHOQUE TRAS DER</t>
  </si>
  <si>
    <t>CAERIA DE A/C</t>
  </si>
  <si>
    <t>ADHESIVO</t>
  </si>
  <si>
    <t>KIT ACC. SEGUROS RENAULT</t>
  </si>
  <si>
    <t>GUIA CORREA DISTRIBUCION</t>
  </si>
  <si>
    <t>TENSOR CORREA DISTR</t>
  </si>
  <si>
    <t>RETEN POSTERIOS DE CIGUEA</t>
  </si>
  <si>
    <t>ORING BUJIA</t>
  </si>
  <si>
    <t>(PE) CORREA DE DISTRIBUCI</t>
  </si>
  <si>
    <t>(PE) FILTRO DE COMBUSTIBL</t>
  </si>
  <si>
    <t>(PE) FILTRO DE AIRE (PEDI</t>
  </si>
  <si>
    <t>3PE) FILTRO DE AIRE</t>
  </si>
  <si>
    <t>[INT:1109110P64-BL](PE) F</t>
  </si>
  <si>
    <t>CORREA BOMBA AGUA 2.5TCI</t>
  </si>
  <si>
    <t>RETEN ACEITE SALIDA CAJA</t>
  </si>
  <si>
    <t>RETENDRO DIFERENCIAL TRAS</t>
  </si>
  <si>
    <t>RETEN ACEITE EJE DIFERENC</t>
  </si>
  <si>
    <t>BUJE DE BANDEJA</t>
  </si>
  <si>
    <t>TAPA MAZA DEL</t>
  </si>
  <si>
    <t>RETEN MAZA DEL</t>
  </si>
  <si>
    <t>CORREA BOMBA DE DIRECCION</t>
  </si>
  <si>
    <t>CORREA BOMBA HIDRALICO</t>
  </si>
  <si>
    <t>(PE) JGO PASTILLAS DEL</t>
  </si>
  <si>
    <t>TAMBOR FRENOS WINGLE</t>
  </si>
  <si>
    <t>PISTON SELLO FRENO TRAS</t>
  </si>
  <si>
    <t>SELLO PERFIL RECTANGULAR</t>
  </si>
  <si>
    <t>G/ POLVO CILINDRO FRENO T</t>
  </si>
  <si>
    <t>ZAPATAS DE FRENO</t>
  </si>
  <si>
    <t>JGO. PASTILLAS DE FRENO T</t>
  </si>
  <si>
    <t>ZAPATA DE FRENO MANO</t>
  </si>
  <si>
    <t>BUJIAS F6RTC</t>
  </si>
  <si>
    <t>CORREA DE A/C</t>
  </si>
  <si>
    <t>POLEA TENSOR</t>
  </si>
  <si>
    <t>SENSOR TEMPERATURA EVAPOR</t>
  </si>
  <si>
    <t>KIT ACC. SEGUROS MAZDA BT</t>
  </si>
  <si>
    <t>LONA MARITIMA WINGLE</t>
  </si>
  <si>
    <t>[INT:SMD136466V-BL](PE) F</t>
  </si>
  <si>
    <t>EMPAQUETADURA DE CULATA</t>
  </si>
  <si>
    <t>TUERCAS CON BASE</t>
  </si>
  <si>
    <t>PROTECTOR DE DEBAJO DE LA</t>
  </si>
  <si>
    <t>SOPORTE DERECHO</t>
  </si>
  <si>
    <t>SOPORTE IZQUIERDO</t>
  </si>
  <si>
    <t>KIT DE SEGUROS C4 CACTUS</t>
  </si>
  <si>
    <t>KIT DE SEGURO CHANGAN A50</t>
  </si>
  <si>
    <t>KIT DE SEGURO CHANGAN CS1</t>
  </si>
  <si>
    <t>KIT ACC. SEGUROS CHANGAN</t>
  </si>
  <si>
    <t>KIT DE SEGUROS CHANGAN UN</t>
  </si>
  <si>
    <t>CABLE 1 BOBINA</t>
  </si>
  <si>
    <t>FILTRO COMBUST</t>
  </si>
  <si>
    <t>RETEN EJE TRASER</t>
  </si>
  <si>
    <t>CRUCETAS</t>
  </si>
  <si>
    <t>RETEN ACEITE EXT EJE TRAS</t>
  </si>
  <si>
    <t>(PE) JGO PASTILLA FRENO D</t>
  </si>
  <si>
    <t>PALETA LLAVE</t>
  </si>
  <si>
    <t>FUSIBLE DE 25A</t>
  </si>
  <si>
    <t>FILTRO COMBUSTIBLE MODELO</t>
  </si>
  <si>
    <t>FILTRO ACEITE GLORY 500-1</t>
  </si>
  <si>
    <t>FILTRO DE AIRE C-9120-VC0</t>
  </si>
  <si>
    <t>FILTRO DE AIRE - C37 DK15</t>
  </si>
  <si>
    <t>FILTRO DE COMBUSTIBLE - C</t>
  </si>
  <si>
    <t>FILTRO ACEITE SFG15T-16</t>
  </si>
  <si>
    <t>FILTRO ACEITE SFG18-16 3.</t>
  </si>
  <si>
    <t>FILTRO AIRE SFG15T-16</t>
  </si>
  <si>
    <t>FILTRO AIRE SFG18-16</t>
  </si>
  <si>
    <t>FILTRO COMBUSTIBLE SFG18-</t>
  </si>
  <si>
    <t>BUJIA SFG18-16</t>
  </si>
  <si>
    <t>TERMOSTATO SUV 1.8L</t>
  </si>
  <si>
    <t>FILTRO AIRE SUV 560</t>
  </si>
  <si>
    <t>JUEGO DE PASTILLAS DELANT</t>
  </si>
  <si>
    <t>4133120-FK01 LUZ COMPUERT</t>
  </si>
  <si>
    <t>STOP COSTADO LH-FARO POST</t>
  </si>
  <si>
    <t>FILTRO AIRE DE MOTOR 580</t>
  </si>
  <si>
    <t>FILTRO DE AIRE D1</t>
  </si>
  <si>
    <t>FILTRO DE COMBUSTIBLE</t>
  </si>
  <si>
    <t>KITS DE BASES GLORY C 37</t>
  </si>
  <si>
    <t>ECU ALIMENTACION PORTON T</t>
  </si>
  <si>
    <t>RETROVISOR PUERTA  DER</t>
  </si>
  <si>
    <t>TAPA ESPEJO RH</t>
  </si>
  <si>
    <t>FAJA DIRECCION HIDRAULICA</t>
  </si>
  <si>
    <t>CAMARA RETROCESO FLOTANTE</t>
  </si>
  <si>
    <t>KIT ACC. SEGUROS SUZUKI D</t>
  </si>
  <si>
    <t>TANQUE SEPAGAS 7 GLNS 360</t>
  </si>
  <si>
    <t>JUEGO VASOS ARO 14 NEW DZ</t>
  </si>
  <si>
    <t>PASTILLAS DE FRENO DELT</t>
  </si>
  <si>
    <t>CAMARA DE RETROCESO REDON</t>
  </si>
  <si>
    <t>KIT DE SEGURO CHANGAN CX7</t>
  </si>
  <si>
    <t>KIT DE SEGURO HAVAL NEW G</t>
  </si>
  <si>
    <t>LAMINA DE 4 MICRAS CH05 S</t>
  </si>
  <si>
    <t>LAMINA DE 4 MICRAS CH20 S</t>
  </si>
  <si>
    <t>LAMINA DE 4 MICRAS CH35 S</t>
  </si>
  <si>
    <t>LAMINA DE 4 MICRAS CH50 S</t>
  </si>
  <si>
    <t>LUB LUBRITEK ACTIVE ATF M</t>
  </si>
  <si>
    <t>LUB LUBRITEK EVO 20W-50 M</t>
  </si>
  <si>
    <t>LUB LUBTEK ULTIM 10W40 SS</t>
  </si>
  <si>
    <t>LUB LUBTEK ULTMATE 10W-40</t>
  </si>
  <si>
    <t>LUB LUBRITEK ULTIMATE 15W</t>
  </si>
  <si>
    <t>[KIT DE SEGUROS JAC T9]</t>
  </si>
  <si>
    <t>TUERCA DE BRAZO DE SUSPEN</t>
  </si>
  <si>
    <t>TUERCA DE BRAZO SUSPENSIO</t>
  </si>
  <si>
    <t>RETEN MAZA TRASERA</t>
  </si>
  <si>
    <t>MANGUERA 3.2 L</t>
  </si>
  <si>
    <t>TIRANTE RESPALDO</t>
  </si>
  <si>
    <t>INFLATOR ( SP12 CX9/7) AI</t>
  </si>
  <si>
    <t>INFLATOR,AIR BAG RECALL</t>
  </si>
  <si>
    <t>AIR BAG COPILOTO</t>
  </si>
  <si>
    <t>SEGURO DE LLANTA MAZDA BT</t>
  </si>
  <si>
    <t>KIT 1 ENVOLTURA ESPECIAL</t>
  </si>
  <si>
    <t>SISTEMA DE AIR BAG COPILO</t>
  </si>
  <si>
    <t>[INT:1017100ED01-BL] FILT</t>
  </si>
  <si>
    <t>(INT: DA0130400)(PE) FILT</t>
  </si>
  <si>
    <t>TENSOR CORREA DISTR.</t>
  </si>
  <si>
    <t>TENSOR</t>
  </si>
  <si>
    <t>EMPA. BOMBA DE AGUA</t>
  </si>
  <si>
    <t>FILTRO DIESEL JUMPERIII R</t>
  </si>
  <si>
    <t>FILTRO AIRE JUMPER III RE</t>
  </si>
  <si>
    <t>JUEGO DISCOS DELANTEROS R</t>
  </si>
  <si>
    <t>MOTOR ESPEJO C-ELYSEE</t>
  </si>
  <si>
    <t>LOTE DE FILTROS POLEN</t>
  </si>
  <si>
    <t>JGO DISCO FRENO TRAS</t>
  </si>
  <si>
    <t>BRACKET PARACHOQUE DELT I</t>
  </si>
  <si>
    <t>ESCUDRA DE REFUERZO</t>
  </si>
  <si>
    <t>PLAQUETA DE FRENOS CITRO.</t>
  </si>
  <si>
    <t>LUB TOTAL MTF 75W80 1LT</t>
  </si>
  <si>
    <t>LUB TOTAL 5W40 BID5LT</t>
  </si>
  <si>
    <t>LUB 5W30 BID5LT</t>
  </si>
  <si>
    <t>PASTILLAS FRENO TRAS JGO</t>
  </si>
  <si>
    <t>JGO PASTILLAS FRENO DELT</t>
  </si>
  <si>
    <t>JGO 4 PLAQUETAS</t>
  </si>
  <si>
    <t>JG PASTILLAS POST</t>
  </si>
  <si>
    <t>JGO PASTILLAS DELANTERAS</t>
  </si>
  <si>
    <t>EMPAQUE VALVULAS ADM/ESC</t>
  </si>
  <si>
    <t>JUEGO 3 DE ANILLOS STD CI</t>
  </si>
  <si>
    <t>KIT DISTRIBUCION</t>
  </si>
  <si>
    <t>BUJIA ENCENDIDO MOTOR DS4</t>
  </si>
  <si>
    <t>JG PASTILLAS POSTERIORES</t>
  </si>
  <si>
    <t>JGO 4 PASTILLAS DELT</t>
  </si>
  <si>
    <t>JUNTA DE TAPON 21X10-1.5</t>
  </si>
  <si>
    <t>VALVULAS DE ESCAPE</t>
  </si>
  <si>
    <t>CORREA ACCESORIOS K6 LE10</t>
  </si>
  <si>
    <t>TOPE SUSPENSION TRASERA</t>
  </si>
  <si>
    <t>LAMEVIDRIO EXTERIOR PTA D</t>
  </si>
  <si>
    <t>LAMELUNAS PTA DELT IZQ</t>
  </si>
  <si>
    <t>ELEMENTO FILTRO AIRE</t>
  </si>
  <si>
    <t>EMPAQUE DE CULATA</t>
  </si>
  <si>
    <t>ELECTROVALVULA TURBO</t>
  </si>
  <si>
    <t>SEGURO LATERAL LH BATERIA</t>
  </si>
  <si>
    <t>FILTRO DE ACEITE JAMPER I</t>
  </si>
  <si>
    <t>TAPA ESTANQUE LIMPIA PARA</t>
  </si>
  <si>
    <t>CAUCHO PUERTAS COST DEL C</t>
  </si>
  <si>
    <t>FILTRO POLEN C-ELYSEE REF</t>
  </si>
  <si>
    <t>MOLDURA PUERTA DEL DER</t>
  </si>
  <si>
    <t>FILTRO ACEITE MOTOR</t>
  </si>
  <si>
    <t>RETEN EJE GUIA</t>
  </si>
  <si>
    <t>METAL BANCADA SUP EXTREMO</t>
  </si>
  <si>
    <t>AMORTIGUADOR DELT IZQ</t>
  </si>
  <si>
    <t>PASTILLAS DELANTERAS IZQ</t>
  </si>
  <si>
    <t>PASTILLAS DELANTERAS DER</t>
  </si>
  <si>
    <t>DISCO FRENO POST IZQ, DER</t>
  </si>
  <si>
    <t>PASTILLAS POST IZQ</t>
  </si>
  <si>
    <t>PASTILLAS POST DER</t>
  </si>
  <si>
    <t>STICKER MEDIO SUPER DE PT</t>
  </si>
  <si>
    <t>STICKER POST VERTICAL DE</t>
  </si>
  <si>
    <t>RETEN EJE PALIER</t>
  </si>
  <si>
    <t>SOPORTE RETEN DIFERENCIAL</t>
  </si>
  <si>
    <t>CILINDRO MAESTRO DE FRENO</t>
  </si>
  <si>
    <t>(SALE) PASTILLAS DE FRENO</t>
  </si>
  <si>
    <t>(PE) PASTILLAS DE FRENO I</t>
  </si>
  <si>
    <t>ZAPATA FRENO IZQ</t>
  </si>
  <si>
    <t>ZAPATA FRENO DER</t>
  </si>
  <si>
    <t>ZAPATA POST PARTE 2 DER,</t>
  </si>
  <si>
    <t>REJILLA VENTILACION IZQ</t>
  </si>
  <si>
    <t>FARO POSTERIOR DER</t>
  </si>
  <si>
    <t>BRIDA TERMOSTATO</t>
  </si>
  <si>
    <t>TENSOR DE CORREA</t>
  </si>
  <si>
    <t>FAJA DE DISTRIBUCI.N</t>
  </si>
  <si>
    <t>[INT 123045] BUJIA.</t>
  </si>
  <si>
    <t>FILTRO ACEITE A/T</t>
  </si>
  <si>
    <t>BANDEJA IZQ</t>
  </si>
  <si>
    <t>BANDEJA DER</t>
  </si>
  <si>
    <t>RETEN DELANTERO DE CIGUEN</t>
  </si>
  <si>
    <t>RETEN POSTERIOR DE CIGUEN</t>
  </si>
  <si>
    <t>CABLE BUJIA 3 (PEDIR 2)</t>
  </si>
  <si>
    <t>PASTILLA DEL DER (INNER)</t>
  </si>
  <si>
    <t>JEBES BARRA ESTABILIZADOR</t>
  </si>
  <si>
    <t>JEBE DE PUERTA CORREDISA</t>
  </si>
  <si>
    <t>TAPA RADIADOR</t>
  </si>
  <si>
    <t>PATIN FRENO TRAS IZQ JGO</t>
  </si>
  <si>
    <t>TAPA FUSIBLE TABLERO</t>
  </si>
  <si>
    <t>DISCO DE FRENO POST CHANG</t>
  </si>
  <si>
    <t>PASTILLAS FRENO TRAS IZQ</t>
  </si>
  <si>
    <t>PASTILLAS FRENO TRAS DER</t>
  </si>
  <si>
    <t>DISCO DE FRENO DELT CHANG</t>
  </si>
  <si>
    <t>PASTILLAS DELT IZQ CHANGA</t>
  </si>
  <si>
    <t>PASTILLAS DELT DER CHANGA</t>
  </si>
  <si>
    <t>VALVULA CON MANGUERAS CX7</t>
  </si>
  <si>
    <t>(SALE) CUELLO DEPOSITO RE</t>
  </si>
  <si>
    <t>BUJE BARRA ESTABILIZADORA</t>
  </si>
  <si>
    <t>PASTILLAS DE FRENO DEL IZ</t>
  </si>
  <si>
    <t>PASTILLAS DE FRENO DEL DE</t>
  </si>
  <si>
    <t>PASTILLAS TRAS FRENO IZQ</t>
  </si>
  <si>
    <t>PASTILLAS TRAS FRENO DER</t>
  </si>
  <si>
    <t>PASTILLAS FRENO DEL IZQ</t>
  </si>
  <si>
    <t>PASTILLAS FRENO DEL DER</t>
  </si>
  <si>
    <t>(SALE) DISCO FRENO TRAS</t>
  </si>
  <si>
    <t>PASTILLA FRENO TRAS IZQ</t>
  </si>
  <si>
    <t>PASTILLA FRENO TRAS DER</t>
  </si>
  <si>
    <t>BRAZO CON PLUMILLA</t>
  </si>
  <si>
    <t>PLUMILLA DEL GOMA SIN SO</t>
  </si>
  <si>
    <t>(PE) RODAMIENTO EMBRAGUE</t>
  </si>
  <si>
    <t>RODAMIENTO DE MASA INT</t>
  </si>
  <si>
    <t>SELLO MASA DEL D</t>
  </si>
  <si>
    <t>KIT ACC. SEGUROS JAC S3</t>
  </si>
  <si>
    <t>KIT ACC. JAC T6</t>
  </si>
  <si>
    <t>ACEITE DE CAJA 80W90 208L</t>
  </si>
  <si>
    <t>RETEN INT DE MAZA DEL</t>
  </si>
  <si>
    <t>(PE) PASTILLA DEL</t>
  </si>
  <si>
    <t>RODAMIENTO DE EMPUJE</t>
  </si>
  <si>
    <t>KIT VARILLA SELECTORA DE</t>
  </si>
  <si>
    <t>BUJE BARRA</t>
  </si>
  <si>
    <t>CILINDRO FRENO RUEDA</t>
  </si>
  <si>
    <t>RETEN DE ACEITE</t>
  </si>
  <si>
    <t>KIT DE SEGURO SZK NEW GRA</t>
  </si>
  <si>
    <t>KIT ACC. SEGUROS SUZUKI S</t>
  </si>
  <si>
    <t>KIT ACC. SEGUROS SUZUKI A</t>
  </si>
  <si>
    <t>KIT ACC. SEGUROS SUZUKI J</t>
  </si>
  <si>
    <t>SENSOR DE RETROCESO</t>
  </si>
  <si>
    <t>FOCO H1 12V 55W P14.5S</t>
  </si>
  <si>
    <t>FOCO HB3 9005 12V-60W</t>
  </si>
  <si>
    <t>FOCO H7 12V 55W PX26D</t>
  </si>
  <si>
    <t>FOCO 1 CONTACTO 12V 21W B</t>
  </si>
  <si>
    <t>FOCO BOMBILLA 2 CONTACTOS</t>
  </si>
  <si>
    <t>FOCO 1 CONTACTO 12V 21W A</t>
  </si>
  <si>
    <t>FOCO LAGRIMA MEDIANA 162</t>
  </si>
  <si>
    <t>FOCO ILUMINACION INTERIOR</t>
  </si>
  <si>
    <t>GOMA DE SOPORTE RADIADOR</t>
  </si>
  <si>
    <t>FOCO - H4 - 12V - 60/55W</t>
  </si>
  <si>
    <t>FOCO H1 PARA FAROS 12 V 5</t>
  </si>
  <si>
    <t>FOCO - H3 - 12V - 55W</t>
  </si>
  <si>
    <t>FOCO 1 CONTACTO 12V 21W R</t>
  </si>
  <si>
    <t>FOCO LAGRIMA DE POSICION</t>
  </si>
  <si>
    <t>FOCO LAGRIMA GRANDE 12V 2</t>
  </si>
  <si>
    <t>FOCO LAGRIMA GRANDE 12V-2</t>
  </si>
  <si>
    <t>SHELL SPIRAX 85W140</t>
  </si>
  <si>
    <t>ALARMA PRESTIGE APS25</t>
  </si>
  <si>
    <t>LUBRICANTE 75W90 GL4 (5X5</t>
  </si>
  <si>
    <t>MAG 1 CVT FULL SINTETICO</t>
  </si>
  <si>
    <t>PANTALLA ANDROID PARA POE</t>
  </si>
  <si>
    <t>KIT DE SEGUROS HAVAL DARG</t>
  </si>
  <si>
    <t>KIT DE SEGURO DZIRE C/DIR</t>
  </si>
  <si>
    <t>KIT DE SEGUROS SUZUKI FRO</t>
  </si>
  <si>
    <t>KIT DE SEGURO HAVAL ALL N</t>
  </si>
  <si>
    <t>KIT DE SEGUROS JAC T8</t>
  </si>
  <si>
    <t>KIT DE SEGURO NEW CX5</t>
  </si>
  <si>
    <t>BUJIA NGK BR LFR5A-11 UN</t>
  </si>
  <si>
    <t>KIT DE SEGUROS MAZDA CX-3</t>
  </si>
  <si>
    <t>KIT DE SEGUROS HAVAL JOLI</t>
  </si>
  <si>
    <t>AMORTIGUADOR DELANTERO RH</t>
  </si>
  <si>
    <t>TOMA VELOCIMETRO</t>
  </si>
  <si>
    <t>FILTRO DE ACEITE MOTOR</t>
  </si>
  <si>
    <t>ACEITE MOTOR 15W40 API CI</t>
  </si>
  <si>
    <t>ACEITE CORONA 85W140 208L</t>
  </si>
  <si>
    <t>BISEL PROXIMIDAD DELANTER</t>
  </si>
  <si>
    <t>TAPASOL PASAJERO</t>
  </si>
  <si>
    <t>EMPAQUETADURA PARA MANGUE</t>
  </si>
  <si>
    <t>AMORTIGUADOR MALETERA</t>
  </si>
  <si>
    <t>CINTURON DEL DER</t>
  </si>
  <si>
    <t>GASKET</t>
  </si>
  <si>
    <t>MODULO DE CONTROL WIPER</t>
  </si>
  <si>
    <t>AIR BAG</t>
  </si>
  <si>
    <t>KIT EMPAQUETADURA</t>
  </si>
  <si>
    <t>KIT DE SEGURO ALL NEW MAZ</t>
  </si>
  <si>
    <t>COBERTOR DE ESPEJO IZQ</t>
  </si>
  <si>
    <t>BOMBA COMB MAZDA2 DJ DL</t>
  </si>
  <si>
    <t>BOMBA COMB CX3 DK CX5 KF</t>
  </si>
  <si>
    <t>BOMBA COMB CX-9 TC</t>
  </si>
  <si>
    <t>COBERTOR ESPEJO DER</t>
  </si>
  <si>
    <t>PARACHOQUE DELT</t>
  </si>
  <si>
    <t>MODULO CONTROL WIPER</t>
  </si>
  <si>
    <t>CLIP CABLE DE BATERIA</t>
  </si>
  <si>
    <t>MANGUERA 2.2 L</t>
  </si>
  <si>
    <t>KIT DE SEGUROS RENAULT -</t>
  </si>
  <si>
    <t>KIT. ACC. SEGUROS RENAULT</t>
  </si>
  <si>
    <t>RETENEDOR DEL CIGsEAL</t>
  </si>
  <si>
    <t>EMPAQUE CULATA GREAT WALL</t>
  </si>
  <si>
    <t>EMPAQ CULATA</t>
  </si>
  <si>
    <t>TUBO DE AIRE DE ESCAPE</t>
  </si>
  <si>
    <t>VALVULA ADMISION</t>
  </si>
  <si>
    <t>VALVULA ESCAPE</t>
  </si>
  <si>
    <t>EMPAQ MULTIPLE ADMISION</t>
  </si>
  <si>
    <t>EMPAQ MULTIPLE ESCAPE</t>
  </si>
  <si>
    <t>RODAJE GUIA DISTRIBUCION</t>
  </si>
  <si>
    <t>INYECTOR COMBUSTIBLE</t>
  </si>
  <si>
    <t>BOMBA COMBUSTIBLE</t>
  </si>
  <si>
    <t>VALVULA EGR</t>
  </si>
  <si>
    <t>SENSOR DE TEMPERATURA</t>
  </si>
  <si>
    <t>BUJIAS INCANDESCENTES</t>
  </si>
  <si>
    <t>BUJIA INCANDESCENTE</t>
  </si>
  <si>
    <t>RESORTE</t>
  </si>
  <si>
    <t>T-CONECTOR PARA AGUA 18X1</t>
  </si>
  <si>
    <t>SWITCH LUNA DER (DESPUES</t>
  </si>
  <si>
    <t>TENSOR DE DISTRIBUCION</t>
  </si>
  <si>
    <t>ACEITE TRANSMISION BOT351</t>
  </si>
  <si>
    <t>(PE) CUBIERTA DISCO EMBRA</t>
  </si>
  <si>
    <t>KIT DE SEGURO CHANGAN GRA</t>
  </si>
  <si>
    <t>KIT DE SEGUROS CHANGAN HO</t>
  </si>
  <si>
    <t>KIT DE SEGUROS NEW CS15</t>
  </si>
  <si>
    <t>(SALE) CORREA BOMBA AGUA</t>
  </si>
  <si>
    <t>RODAMIENTO VOLANTE INERCI</t>
  </si>
  <si>
    <t>CONJUNTO EMBRAGUE</t>
  </si>
  <si>
    <t>CABLE MULTIMEDIA</t>
  </si>
  <si>
    <t>BASE</t>
  </si>
  <si>
    <t>PROTECTOR DE TOLVA CHANGA</t>
  </si>
  <si>
    <t>SOPORTE DE MOTOR</t>
  </si>
  <si>
    <t>METAL BANCADA STD SUP</t>
  </si>
  <si>
    <t>METAL BANCADA STD INF</t>
  </si>
  <si>
    <t>RETEN LEVAS</t>
  </si>
  <si>
    <t>BIELA MOTOR</t>
  </si>
  <si>
    <t>METAL BIELA SUP</t>
  </si>
  <si>
    <t>CORREA BOMBA AGUA</t>
  </si>
  <si>
    <t>TENSOR AC</t>
  </si>
  <si>
    <t>RODILLO I</t>
  </si>
  <si>
    <t>RODILLO II</t>
  </si>
  <si>
    <t>GUIA CADENA</t>
  </si>
  <si>
    <t>TENSOR CADENA</t>
  </si>
  <si>
    <t>FAJA DE ALTERNADOR</t>
  </si>
  <si>
    <t>FAJA DE ACCESORIOS</t>
  </si>
  <si>
    <t>RODILLO AUX</t>
  </si>
  <si>
    <t>BUJIA INCANDECENTE</t>
  </si>
  <si>
    <t>SENSOR DETONACION</t>
  </si>
  <si>
    <t>FLUJOMETRO</t>
  </si>
  <si>
    <t>SENSOR TEMP ENTRADA TURBO</t>
  </si>
  <si>
    <t>SENSOR TEMPERATURA</t>
  </si>
  <si>
    <t>SENSOR PRESION</t>
  </si>
  <si>
    <t>VæLVULA REGULADORA DE PRE</t>
  </si>
  <si>
    <t>INYECTOR</t>
  </si>
  <si>
    <t>TAPA COMBUSTIBLE</t>
  </si>
  <si>
    <t>CJTO FILTRO DE COMBUSTIBL</t>
  </si>
  <si>
    <t>SENSOR FILTRO COMBUSTIBLE</t>
  </si>
  <si>
    <t>FILTRO PETROLEO</t>
  </si>
  <si>
    <t>FILTRO SEPARADOR COMBUSTI</t>
  </si>
  <si>
    <t>FILTRO SEPARADOR DE COMBU</t>
  </si>
  <si>
    <t>VæLVULA DE DRENAJE DE AGU</t>
  </si>
  <si>
    <t>CONJUNTO TUBO CARGADOR AI</t>
  </si>
  <si>
    <t>EMP LINEA ESCAPE</t>
  </si>
  <si>
    <t>EMP ESCAPE</t>
  </si>
  <si>
    <t>MANGUERA RAFRACTARIA 1</t>
  </si>
  <si>
    <t>MANGUERA RAFRACTARIA 2</t>
  </si>
  <si>
    <t>DEPOSITO AUX RADIADOR</t>
  </si>
  <si>
    <t>CILINDRO EMBRAGUE</t>
  </si>
  <si>
    <t>BOMBA EMBRAGUE</t>
  </si>
  <si>
    <t>SELECTOR DE CAMBIOS</t>
  </si>
  <si>
    <t>TAPA REMOLQUE POST</t>
  </si>
  <si>
    <t>PARACHOQUES TRAS</t>
  </si>
  <si>
    <t>MOLDURA PARACHOQUE TRAS I</t>
  </si>
  <si>
    <t>REFUERZO PARACHOQUES TRAS</t>
  </si>
  <si>
    <t>BIELETA BARRA ESTABILIZAD</t>
  </si>
  <si>
    <t>CONJ DER BARRA TORSION</t>
  </si>
  <si>
    <t>PERNO DELANTERO LH</t>
  </si>
  <si>
    <t>BUJE BANDEJA</t>
  </si>
  <si>
    <t>ROTULA BANDEJA</t>
  </si>
  <si>
    <t>PERNO LEVA INF TRS TRAPEC</t>
  </si>
  <si>
    <t>BANDEJA SUP IZQ</t>
  </si>
  <si>
    <t>EJE TRAPECIO</t>
  </si>
  <si>
    <t>ROTULA DE BANDEJA SUP DER</t>
  </si>
  <si>
    <t>BANDEJA SUP DER</t>
  </si>
  <si>
    <t>BUJE BARRA EST</t>
  </si>
  <si>
    <t>BIELETA IZQ BARRA ESTABIL</t>
  </si>
  <si>
    <t>BIELETA DER BARRA ESTABIL</t>
  </si>
  <si>
    <t>AMORTIGUADOR TRAS IZQ</t>
  </si>
  <si>
    <t>(SALE) BUJE AMORTIGUADOR</t>
  </si>
  <si>
    <t>TUERCAS</t>
  </si>
  <si>
    <t>MANGUERA DE DIRECCION</t>
  </si>
  <si>
    <t>CALIPER DER</t>
  </si>
  <si>
    <t>(SALE) SERVO FRENO</t>
  </si>
  <si>
    <t>SENSOR VELOCIDAD TRAS IZQ</t>
  </si>
  <si>
    <t>SENSOR MARCHA ATRAS</t>
  </si>
  <si>
    <t>CAMARA RETROCESO</t>
  </si>
  <si>
    <t>CONJUNTO DE ARNES PRINCIP</t>
  </si>
  <si>
    <t>FOCO DRL DER</t>
  </si>
  <si>
    <t>FOCO TRAS IZQ</t>
  </si>
  <si>
    <t>FOCO NEBLINERO TRAS IZQ</t>
  </si>
  <si>
    <t>TUERCA BLOQUEO</t>
  </si>
  <si>
    <t>PLUMILLA TRAS</t>
  </si>
  <si>
    <t>ESTANQUE LIMPIA PARABRISA</t>
  </si>
  <si>
    <t>FLAP GUARDAFANGO TRAS IZQ</t>
  </si>
  <si>
    <t>FLAP GUARDAFANGO TRAS DER</t>
  </si>
  <si>
    <t>MOLDURA RUEDA TRAS IZQ</t>
  </si>
  <si>
    <t>TAPA MANILLA PUERTA TRAS</t>
  </si>
  <si>
    <t>RADIO - NEW REFINE</t>
  </si>
  <si>
    <t>MOTOR CALEFA</t>
  </si>
  <si>
    <t>FILTRO AIRE ACONDICIONADO</t>
  </si>
  <si>
    <t>PANEL FRONTAL COMPLETO</t>
  </si>
  <si>
    <t>MANILLA PORTALON EXT</t>
  </si>
  <si>
    <t>AXIAL DEL DER</t>
  </si>
  <si>
    <t>TERMINAL AXIAL</t>
  </si>
  <si>
    <t>KIT DE SEGURIDAD JAC REFI</t>
  </si>
  <si>
    <t>PROTECTOR DE TOLVA</t>
  </si>
  <si>
    <t>JUEGO DE PATINES DE FRENO</t>
  </si>
  <si>
    <t>BRAZO LIMPIAPARABRISAS DE</t>
  </si>
  <si>
    <t>PUERTA DEL. LH</t>
  </si>
  <si>
    <t>EMP BUJIA</t>
  </si>
  <si>
    <t>EMPAQUETADURA TAPA VALVUL</t>
  </si>
  <si>
    <t>SOPORTE MOTOR DEL ARK415</t>
  </si>
  <si>
    <t>[INT:1140771C00000] (PE)</t>
  </si>
  <si>
    <t>FILTRO AIRE [ARK415]</t>
  </si>
  <si>
    <t>FILTRO AIRE [SZK JIMNY II</t>
  </si>
  <si>
    <t>MASTER PACK FILTRO ACEITE</t>
  </si>
  <si>
    <t>FILTRO DE ACEITE DE MOTOR</t>
  </si>
  <si>
    <t>VARILLA NIVEL ACEITE MOTO</t>
  </si>
  <si>
    <t>CORREA DE ACCESORIOS</t>
  </si>
  <si>
    <t>CORREA A/C</t>
  </si>
  <si>
    <t>INT [1752153R00000] CORRE</t>
  </si>
  <si>
    <t>COREA BOMBA AGUA [ARK415]</t>
  </si>
  <si>
    <t>(PE) CORREA DE ALTERNADOR</t>
  </si>
  <si>
    <t>COREA BOMBA AGUA [SZK JIM</t>
  </si>
  <si>
    <t>POLEA GUIA CORREA AL</t>
  </si>
  <si>
    <t>TENSOR CORREA ALTERN</t>
  </si>
  <si>
    <t>ORING TAPA TERMOSTATO</t>
  </si>
  <si>
    <t>ORING SELLO AGUA</t>
  </si>
  <si>
    <t>BOMBA VACIO K14C</t>
  </si>
  <si>
    <t>KIT SERVICIO EMBRAGUE</t>
  </si>
  <si>
    <t>KIT EMBRAGUE [GRAND VITAR</t>
  </si>
  <si>
    <t>KIT EMBRAGUE</t>
  </si>
  <si>
    <t>(PE) PRENSA DE EMBRAGUE</t>
  </si>
  <si>
    <t>(PE) RODAMIENTO EMPUJE</t>
  </si>
  <si>
    <t>PIOLA DEL EMBRAGUE</t>
  </si>
  <si>
    <t>CILINDRO MAESTRO EMBRAGUE</t>
  </si>
  <si>
    <t>RETEN LATERAL CORONA.</t>
  </si>
  <si>
    <t>RETEN LAT. DER. DIF.</t>
  </si>
  <si>
    <t>VARILLA SELECTORA CAMBIO</t>
  </si>
  <si>
    <t>FUNDA DE LA PALANCA DE</t>
  </si>
  <si>
    <t>FOCO TRAS DER</t>
  </si>
  <si>
    <t>SET ARNES PUERTAS DELLANT</t>
  </si>
  <si>
    <t>PALETA LLAVE CON INMOVILI</t>
  </si>
  <si>
    <t>SWITCH ,4WD</t>
  </si>
  <si>
    <t>BOMBA ELECTRICA LAVA</t>
  </si>
  <si>
    <t>UNION</t>
  </si>
  <si>
    <t>RETEN ESPIRAL DE AMORTIGU</t>
  </si>
  <si>
    <t>ESPIRAL TRAS AMORT</t>
  </si>
  <si>
    <t>ESPIRAL TRASERO</t>
  </si>
  <si>
    <t>SOPORTE ESPIRAL</t>
  </si>
  <si>
    <t>CAZOLETA DE AMORTIGUADOR</t>
  </si>
  <si>
    <t>GUARDAPOLVO AMORTIGUADOR</t>
  </si>
  <si>
    <t>TAPA TORRE SUPERIOR</t>
  </si>
  <si>
    <t>TOPE AMORTIGUADOR DEL</t>
  </si>
  <si>
    <t>GOMA BARRA ESTABILIZ</t>
  </si>
  <si>
    <t>POLEA TENSORA DE DIRECCIO</t>
  </si>
  <si>
    <t>POLEA N1 CORREA DIR</t>
  </si>
  <si>
    <t>POLEA TENSORA DIRECC</t>
  </si>
  <si>
    <t>POLEA TENSORA DE DIRRECCI</t>
  </si>
  <si>
    <t>CORREA BBA DIRECCION</t>
  </si>
  <si>
    <t>CORREA DE ACC</t>
  </si>
  <si>
    <t>BALATAS DE FRENO</t>
  </si>
  <si>
    <t>JUEGO DE ZAPATAS DE FRENO</t>
  </si>
  <si>
    <t>JGO. DE BALATAS</t>
  </si>
  <si>
    <t>JGO PASTILLA FRENO DEL</t>
  </si>
  <si>
    <t>PERNO CALIPER</t>
  </si>
  <si>
    <t>PASADOR CALIPER</t>
  </si>
  <si>
    <t>PASTILLAS DE FRENO SX4 S-</t>
  </si>
  <si>
    <t>PASTILLA DELT</t>
  </si>
  <si>
    <t>JGO PASTILLAS DEL</t>
  </si>
  <si>
    <t>PISTON DE MORDAZA FRENOS</t>
  </si>
  <si>
    <t>PISTON CALIPER DELT</t>
  </si>
  <si>
    <t>PASADOR DE CALIPER</t>
  </si>
  <si>
    <t>ANILLO MAGNETICO ABS</t>
  </si>
  <si>
    <t>BISEL NEBLINERO DRL DER</t>
  </si>
  <si>
    <t>MOLDURA MASCARA RADIADOR</t>
  </si>
  <si>
    <t>CUBIERTA INF DEL</t>
  </si>
  <si>
    <t>EXTENSION GUARDAFANGO DEL</t>
  </si>
  <si>
    <t>SELLO PUERTA</t>
  </si>
  <si>
    <t>MANILLA PTA TRAS DER</t>
  </si>
  <si>
    <t>MANILLA PTA TRAS IZQ</t>
  </si>
  <si>
    <t>CUBIERTA ESPEJO DER</t>
  </si>
  <si>
    <t>MANGUERA COMBUSTIBLE</t>
  </si>
  <si>
    <t>ARANDELA TAPON CARTER</t>
  </si>
  <si>
    <t>CORREA AC [ARK415]</t>
  </si>
  <si>
    <t>CORREA AC [SZK JIMNY II]</t>
  </si>
  <si>
    <t>CORREA AIRE ACONDICIONADO</t>
  </si>
  <si>
    <t>FILTRO DE A/C ( SUZUKI )</t>
  </si>
  <si>
    <t>KIT DE SEGURIDAD G NOMADE</t>
  </si>
  <si>
    <t>ALARMA QUALITY Q-110</t>
  </si>
  <si>
    <t>RETEN DE COLA DE CAJA - M</t>
  </si>
  <si>
    <t>Kit de seguridad Changan</t>
  </si>
  <si>
    <t>KIT DE SEGURO ALL NEW CX-</t>
  </si>
  <si>
    <t>KIT DE SEGURO CHANGAN HUN</t>
  </si>
  <si>
    <t>KIT DE SEGURO CHANGAN NEW</t>
  </si>
  <si>
    <t>KIT SEGUROS NEW MAZDA 3 S</t>
  </si>
  <si>
    <t>KIT DE SEGURO APV PASAJER</t>
  </si>
  <si>
    <t>COOLANT LUBRITEK LONGLIFE</t>
  </si>
  <si>
    <t>Manual de usuario Changan</t>
  </si>
  <si>
    <t>INYECTOR DE COMBUSTIBLE</t>
  </si>
  <si>
    <t>FILTRO DE COMBUSTIBLE FS3</t>
  </si>
  <si>
    <t>PRE-FILTRO COMBUSTIBLE</t>
  </si>
  <si>
    <t>PRENSA EMBRAGUE</t>
  </si>
  <si>
    <t>BROCHE PUERTA</t>
  </si>
  <si>
    <t>JGO PASTILLAS FRENO DEL (</t>
  </si>
  <si>
    <t>RETEN MAZA</t>
  </si>
  <si>
    <t>FLEXIBLE FRENO DELANTERO</t>
  </si>
  <si>
    <t>PALANCA FRENO</t>
  </si>
  <si>
    <t>CONVERTIDOR DCDC</t>
  </si>
  <si>
    <t>KIT DE SEGURO MAZDA BT-50</t>
  </si>
  <si>
    <t>UNIDAD DE CONTROL LIFT G</t>
  </si>
  <si>
    <t>SILICONA NEUTRA NEGRA- AL</t>
  </si>
  <si>
    <t>SERVO FRENOS</t>
  </si>
  <si>
    <t>CANERIA DIRECCION BAJA</t>
  </si>
  <si>
    <t>CAERIA DIRECCION</t>
  </si>
  <si>
    <t>TUBO BAJA PRESION</t>
  </si>
  <si>
    <t>JUNTA TURBO</t>
  </si>
  <si>
    <t>JUNTA SELLO DEPOSITO LF C</t>
  </si>
  <si>
    <t>EJE / PIN</t>
  </si>
  <si>
    <t>AIRBAG CONDUCTOR</t>
  </si>
  <si>
    <t>BAT HK MF80D26L/NX110-5L</t>
  </si>
  <si>
    <t>KIT ACC SEGUROS RENAULT S</t>
  </si>
  <si>
    <t>INTERCOOLER</t>
  </si>
  <si>
    <t>MANGUERA INTERCOOLER</t>
  </si>
  <si>
    <t>BOMBA DE COMBUSTIBLE</t>
  </si>
  <si>
    <t>KIT DE EMBRAGUE (PLATO, D</t>
  </si>
  <si>
    <t>CONJUNTO DEL EMBRAGUE PAR</t>
  </si>
  <si>
    <t>BOMBA MAESTRA EMBRAGUE</t>
  </si>
  <si>
    <t>CONJUNTO PALANCA CAMBIO</t>
  </si>
  <si>
    <t>CARDAN</t>
  </si>
  <si>
    <t>CRUCETA CARDAN (27X80)</t>
  </si>
  <si>
    <t>CARDAN DELANTERO</t>
  </si>
  <si>
    <t>RETER DE CORONA DEL LH</t>
  </si>
  <si>
    <t>RETEN DE PALIER IZQ GW H6</t>
  </si>
  <si>
    <t>PROTECTOR METAL DELANTERO</t>
  </si>
  <si>
    <t>MOLDURA PARACHOQUE DEL DE</t>
  </si>
  <si>
    <t>REJILLA PARACHOQUES DEL I</t>
  </si>
  <si>
    <t>PORTA PATENTE</t>
  </si>
  <si>
    <t>PORTAPLACA</t>
  </si>
  <si>
    <t>BUJES BARRA ESTAB</t>
  </si>
  <si>
    <t>CAUCHOS BARRA ESTABILIZAD</t>
  </si>
  <si>
    <t>TERMINAL BARRA ESTABILIZA</t>
  </si>
  <si>
    <t>ROTULA DIRECCION</t>
  </si>
  <si>
    <t>JUEGO PASTILLAS DE FRENO</t>
  </si>
  <si>
    <t>TAMBOR DE FRENO</t>
  </si>
  <si>
    <t>CALIPER TRAS IZQ</t>
  </si>
  <si>
    <t>CALIPER TRAS DER</t>
  </si>
  <si>
    <t>PASTILLAS DE FRENO TRAS</t>
  </si>
  <si>
    <t>FRENO ESTACIONAMIENTO IZQ</t>
  </si>
  <si>
    <t>FRENO ESTACIONAMIENTO DER</t>
  </si>
  <si>
    <t>CANERIA DE FRENO LH</t>
  </si>
  <si>
    <t>CANERIA DE FRENO RH</t>
  </si>
  <si>
    <t>SENSOR DEL ABS</t>
  </si>
  <si>
    <t>SENSOR RETROCESO</t>
  </si>
  <si>
    <t>SENSOR TPMS</t>
  </si>
  <si>
    <t>SENSOR PRESION NEUMATICO</t>
  </si>
  <si>
    <t>SERPENTIN- WINCHA DE CLAX</t>
  </si>
  <si>
    <t>(PE) CORREA ALTERNADOR</t>
  </si>
  <si>
    <t>TENSOR CORRE ALTERNADOR</t>
  </si>
  <si>
    <t>PION CORREA ALTERNADOR</t>
  </si>
  <si>
    <t>PION CORREA</t>
  </si>
  <si>
    <t>SWITCH EMBRAGUE SUPERIOR</t>
  </si>
  <si>
    <t>CHAPA PUERTA POST DER</t>
  </si>
  <si>
    <t>ACTUADOR DE PUERTA POST R</t>
  </si>
  <si>
    <t>EMBLEMA DEL HAVAL</t>
  </si>
  <si>
    <t>FOCO DEL DER</t>
  </si>
  <si>
    <t>PARABRISAS</t>
  </si>
  <si>
    <t>BASE MASCARA DER</t>
  </si>
  <si>
    <t>DEFLECTOR RADIADOR IZQ</t>
  </si>
  <si>
    <t>PUERTA DEL IZQ</t>
  </si>
  <si>
    <t>FILTRO POLEN (HAVALES)</t>
  </si>
  <si>
    <t>FILTRO A/ACOND</t>
  </si>
  <si>
    <t>MANIJA PUERTA TOLVA</t>
  </si>
  <si>
    <t>KIT ACC. SEGUROS GREAT WA</t>
  </si>
  <si>
    <t>PROTECTOR DE TOLVA POER</t>
  </si>
  <si>
    <t>CUBIERTA TRANSMISION CONJ</t>
  </si>
  <si>
    <t>KIT DE SEGURO ARO CITROËN</t>
  </si>
  <si>
    <t>CABLE EMBRAGUE</t>
  </si>
  <si>
    <t>TAPA DISTRIBUCION</t>
  </si>
  <si>
    <t>CHAPA PTA DELT DER</t>
  </si>
  <si>
    <t>FILTRO DE BENCINA</t>
  </si>
  <si>
    <t>TANQUE GLP X700 X 250 TOR</t>
  </si>
  <si>
    <t>AIRBAG LATERAL IZQ.</t>
  </si>
  <si>
    <t>MANGUERA REFRIGERACION DE</t>
  </si>
  <si>
    <t>DISCO PRENSA EMBRAGUE</t>
  </si>
  <si>
    <t>CALIPER TRASERO DERECHO</t>
  </si>
  <si>
    <t>DISCO FRENO TRASERO</t>
  </si>
  <si>
    <t>JGO PASTILLAS TRASERAS</t>
  </si>
  <si>
    <t>CONTACTOR GIRATORIO</t>
  </si>
  <si>
    <t>PLUMILLA DELT IZQ</t>
  </si>
  <si>
    <t>PLUMILLA DELT DER</t>
  </si>
  <si>
    <t>ARANDELA DE TAPON DE CORO</t>
  </si>
  <si>
    <t>KIT ACC. SEGUROS JAC GRAN</t>
  </si>
  <si>
    <t>BROCHES PASORUEDAS</t>
  </si>
  <si>
    <t>BUJIA (SUZUKI)</t>
  </si>
  <si>
    <t>RETEN DE PURIFIC.</t>
  </si>
  <si>
    <t>VALVULA ESCAPE [800]</t>
  </si>
  <si>
    <t>FILTRO AIRE ( SUZUKI)</t>
  </si>
  <si>
    <t>TERMOSTATO DEL REFRIGERAN</t>
  </si>
  <si>
    <t>MANGUERA BYPASS.</t>
  </si>
  <si>
    <t>KIT CHAPAS</t>
  </si>
  <si>
    <t>ROD MAZA RDA DEL</t>
  </si>
  <si>
    <t>RODAMIENTO RUEDA TRAS</t>
  </si>
  <si>
    <t>KIT TERMINALES DE DIRECCI</t>
  </si>
  <si>
    <t>BALATA FRENO JGO</t>
  </si>
  <si>
    <t>PASTILLAS FRENO DEL [SET]</t>
  </si>
  <si>
    <t>PASTILLAS FRENO DEL JGO</t>
  </si>
  <si>
    <t>PASTILLAS FRENO TRAS [SET</t>
  </si>
  <si>
    <t>FRONTAL DEL</t>
  </si>
  <si>
    <t>MOLDURA MASCARA IZQ</t>
  </si>
  <si>
    <t>REFUERZO PARACHOQUES DEL</t>
  </si>
  <si>
    <t>MOLDURA DE REJILLA DER</t>
  </si>
  <si>
    <t>MODULRA REJILLA TORPEDO D</t>
  </si>
  <si>
    <t>MANDIL GUARDAF POST RH</t>
  </si>
  <si>
    <t>KIT MANGUERA COMBUSTIBLE</t>
  </si>
  <si>
    <t>KIT EMBRAGUE DZIRE</t>
  </si>
  <si>
    <t>KIT EMBRAGUE CIAZ</t>
  </si>
  <si>
    <t>KIT EMBRAGUE NEW BALENO</t>
  </si>
  <si>
    <t>FOCO H8 12V 35W PGJ19-1</t>
  </si>
  <si>
    <t>FOCO H11 12V 55W PGJ19-2</t>
  </si>
  <si>
    <t>SILICONA NEUTRA GRIS- ALT</t>
  </si>
  <si>
    <t>PROTECTOR DE BAJOS NEGRO</t>
  </si>
  <si>
    <t>LIMPIA CARBURADOR CARBO O</t>
  </si>
  <si>
    <t>SPRAY DE ZINC CLARO PERFE</t>
  </si>
  <si>
    <t>FOCO H11 12V 55W</t>
  </si>
  <si>
    <t>BAT HK EFB SE Q85(90D23L)</t>
  </si>
  <si>
    <t>BAT HK MF80D26R/NX110-5 7</t>
  </si>
  <si>
    <t>BAT HK MF55B24L 45 AH 430</t>
  </si>
  <si>
    <t>BAT HK MF56828 68 AH 570C</t>
  </si>
  <si>
    <t>BAT HK MF105D31R 90 AH 75</t>
  </si>
  <si>
    <t>BAT HK MF54321 45 AH 450C</t>
  </si>
  <si>
    <t>BAT HK MF55B24R 45 AH 430</t>
  </si>
  <si>
    <t>BAT HK MF55459 54 AH 480C</t>
  </si>
  <si>
    <t>BAT HK MF105D31L 90 AH 75</t>
  </si>
  <si>
    <t>BAT HK MF55B24RS 45 AH 43</t>
  </si>
  <si>
    <t>BAT HK MF57220 72 AH 610C</t>
  </si>
  <si>
    <t>BAT HK MF40B19FL 35 AH 33</t>
  </si>
  <si>
    <t>BUJIA NGK BR BKR6E-11 UN</t>
  </si>
  <si>
    <t>ALARMA SGF TITANIUM</t>
  </si>
  <si>
    <t>FOCO DE 1 CONTACTO 24V</t>
  </si>
  <si>
    <t>FOCO DE SALON</t>
  </si>
  <si>
    <t>KIT DE SEGURO DZIRE S/DIR</t>
  </si>
  <si>
    <t>KIT DE SEGURO NUEVA JIMMY</t>
  </si>
  <si>
    <t>KIT DE SEGUROS CHANGAN NE</t>
  </si>
  <si>
    <t>TANQUE TOROIDAL 650 X 200</t>
  </si>
  <si>
    <t>CONJUNTO FILTROS DE AIRE</t>
  </si>
  <si>
    <t>FOCO LAGRIMA AMBAR 12V NA</t>
  </si>
  <si>
    <t>KIT DE SEGUROS MAZDA BT50</t>
  </si>
  <si>
    <t>FILTRO COMBUSTIBLE POER</t>
  </si>
  <si>
    <t>SEGURO LLANTA GW WINGLE 5</t>
  </si>
  <si>
    <t>RETEN PALIER IZQUIERDO</t>
  </si>
  <si>
    <t>RETEN DE PALIER DERECHO</t>
  </si>
  <si>
    <t>PASTILLAS DELT HAVAL H7</t>
  </si>
  <si>
    <t>PASTILLAS POST GREAT WALL</t>
  </si>
  <si>
    <t>JGO DE PASTILLAS TRAS</t>
  </si>
  <si>
    <t>LTRO DE A/C GREAT WALL H7</t>
  </si>
  <si>
    <t>WIRING CONTACT A-H2</t>
  </si>
  <si>
    <t>WIRING CONTACT B-H2</t>
  </si>
  <si>
    <t>KIT ACC. SEGUROS HAVAL H7</t>
  </si>
  <si>
    <t>AIRBAG COPILOTO</t>
  </si>
  <si>
    <t>TUERCA DE ROTULA INFERIOR</t>
  </si>
  <si>
    <t>PASTILLA FRENO DEL (IZ+DE</t>
  </si>
  <si>
    <t>FAJA DE COMPRESOR</t>
  </si>
  <si>
    <t>EMPAQUETADURA CULATA</t>
  </si>
  <si>
    <t>METAL DE BIELA INF (AMARI</t>
  </si>
  <si>
    <t>JGO ANILLO MOTOR</t>
  </si>
  <si>
    <t>(PE) CORREAS</t>
  </si>
  <si>
    <t>TENSOR CORREA ACC</t>
  </si>
  <si>
    <t>DISCO DE FRENO NUEVO (82m</t>
  </si>
  <si>
    <t>BOMBA DIRECCION</t>
  </si>
  <si>
    <t>RETEN DE ACEITE DE CAJA</t>
  </si>
  <si>
    <t>RETEN DE PALIER</t>
  </si>
  <si>
    <t>KIT ACC. SEGUROS SUZUKI N</t>
  </si>
  <si>
    <t>KIT ACC. SEGUROS SUZUKI B</t>
  </si>
  <si>
    <t>KIT ACC. SEGUROS SUZUKI C</t>
  </si>
  <si>
    <t>KIT DE SEGURIDAD CHANGAN</t>
  </si>
  <si>
    <t>Kit de seguridad Great Wa</t>
  </si>
  <si>
    <t>KIT DE SEGURO RENAULT NEW</t>
  </si>
  <si>
    <t>KIT DE SEGURO JAC NEW REF</t>
  </si>
  <si>
    <t>KIT DE SEGUROS GREAT WALL</t>
  </si>
  <si>
    <t>KIT ACC. SEGUROS NEW MAZD</t>
  </si>
  <si>
    <t>T DE AGUA 19X19X16MM</t>
  </si>
  <si>
    <t>SOPORTE DE MONTAJE IZQUIE</t>
  </si>
  <si>
    <t>SOPORTE DE MONTAJE DERECH</t>
  </si>
  <si>
    <t>PERNOS DE SOPORTE DE MONT</t>
  </si>
  <si>
    <t>O-RING CARCASA FILTRO COM</t>
  </si>
  <si>
    <t>KIT FILTRO DIESEL POER MT</t>
  </si>
  <si>
    <t>KIT FILTRO DIESEL POER</t>
  </si>
  <si>
    <t>RETEN POSTERIOR DE CAJA</t>
  </si>
  <si>
    <t>KIT ACC. SEGUROS COMPLETO</t>
  </si>
  <si>
    <t>KIT DE SEGUROS CITROËN AI</t>
  </si>
  <si>
    <t>SOPORTE MOTOR DEL DER</t>
  </si>
  <si>
    <t>CONOS LLANTA</t>
  </si>
  <si>
    <t>(SALE) PASTILLAS FRENO TR</t>
  </si>
  <si>
    <t>EMBELLECEDOR PUERTA</t>
  </si>
  <si>
    <t>TAPA MAZA LLANTA ALUMINIO</t>
  </si>
  <si>
    <t>MANGUERA DE ADMISION (REC</t>
  </si>
  <si>
    <t>SENSOR DE POSICION CIG?E?</t>
  </si>
  <si>
    <t>COLUMNA DE DIRECCION</t>
  </si>
  <si>
    <t>CREMALLERA DIRECCION</t>
  </si>
  <si>
    <t>CINTURON SEGURIDAD DEL DE</t>
  </si>
  <si>
    <t>ZAPATA FRENO POST</t>
  </si>
  <si>
    <t>JGO PAS FRE TRAS HYF3502P</t>
  </si>
  <si>
    <t>ENGRANAJE 3RA</t>
  </si>
  <si>
    <t>MOTOR ACTIVADOR DE LA DOB</t>
  </si>
  <si>
    <t>KIT DE SEGUROS SUZUKI S-P</t>
  </si>
  <si>
    <t>KIT. ACC. SEGUROS SWIFT S</t>
  </si>
  <si>
    <t>FOCOS LAGRIMON</t>
  </si>
  <si>
    <t>KIT DE SEGURO SUZUKI NEW</t>
  </si>
  <si>
    <t>JGO PATIN PROTECTOR GREAT</t>
  </si>
  <si>
    <t>ODOMETRO 1061 E5</t>
  </si>
  <si>
    <t>COLLARIN</t>
  </si>
  <si>
    <t>PASTILLA DE FRENO</t>
  </si>
  <si>
    <t>LUNETA RETROVISOR IZQ.</t>
  </si>
  <si>
    <t>EJE ACTUADOR ASIENTO</t>
  </si>
  <si>
    <t>CONECTOR IZQ BBA COMBUSTI</t>
  </si>
  <si>
    <t>PROTECTOR DE TOLVA WINGLE</t>
  </si>
  <si>
    <t>MANGUERA VENTILACION CART</t>
  </si>
  <si>
    <t>LUNETA RETROVISOR DER</t>
  </si>
  <si>
    <t>KIT DE SEGUROS GRAND VAN</t>
  </si>
  <si>
    <t>KIT DE SEGUROS SUZUKI NEW</t>
  </si>
  <si>
    <t>EXTENSION DE TAPABARRO DE</t>
  </si>
  <si>
    <t>(PE) CORREA DISTRIBUCION</t>
  </si>
  <si>
    <t>AXS.KIT DE SEGUROS CHANGA</t>
  </si>
  <si>
    <t>KIT SEGUROS ALL NEW CELER</t>
  </si>
  <si>
    <t>KIT ACC. SEGUROS NEWMAZDA</t>
  </si>
  <si>
    <t>KIT FILTRO DIESEL WINGLE</t>
  </si>
  <si>
    <t>TUBO Y BASE DE TAPA DE CO</t>
  </si>
  <si>
    <t>KIT FILTRO PURIFICADOR HU</t>
  </si>
  <si>
    <t>LLAVE</t>
  </si>
  <si>
    <t>SOPORTE DE CARDAN</t>
  </si>
  <si>
    <t>(SALE) PASTILLAS FRENO DE</t>
  </si>
  <si>
    <t>PASTILLAS DE FRENO POSTER</t>
  </si>
  <si>
    <t>LLAVE CONTACTO RETRACTIL</t>
  </si>
  <si>
    <t>PALETA DE CONTROL</t>
  </si>
  <si>
    <t>FILTRO DE AC</t>
  </si>
  <si>
    <t>(PE) FILTRO ACEITE</t>
  </si>
  <si>
    <t>MODULO CAJA TRANS</t>
  </si>
  <si>
    <t>LUB LUBTEK ACTIVE 15W-40</t>
  </si>
  <si>
    <t>TAPA AUXILAR DEL RADIADOR</t>
  </si>
  <si>
    <t>JGO PASTILLA DEL[YF3501N2</t>
  </si>
  <si>
    <t>LUB LUBRITEK ACTIVE 15W40</t>
  </si>
  <si>
    <t>LUB LUBRITEK ACTIVE 15W-4</t>
  </si>
  <si>
    <t>KIT DE SEGUROS ALL NEW CE</t>
  </si>
  <si>
    <t>PATIN DE FRENO</t>
  </si>
  <si>
    <t>SILICONA ESPECIAL 250 TER</t>
  </si>
  <si>
    <t>FILTRO DE COMBUSTIBLE 3 V</t>
  </si>
  <si>
    <t>FILTRO COMBUSTIBLE BOSH</t>
  </si>
  <si>
    <t>Grupo</t>
  </si>
  <si>
    <t>BP</t>
  </si>
  <si>
    <t>R</t>
  </si>
  <si>
    <t>A</t>
  </si>
  <si>
    <t>L</t>
  </si>
  <si>
    <t>RG</t>
  </si>
  <si>
    <t>RM</t>
  </si>
  <si>
    <t>B</t>
  </si>
  <si>
    <t>AA</t>
  </si>
  <si>
    <t>id_category</t>
  </si>
  <si>
    <t>codigo_producto</t>
  </si>
  <si>
    <t>cod_formateado</t>
  </si>
  <si>
    <t>id_marca</t>
  </si>
  <si>
    <t>cod_marca</t>
  </si>
  <si>
    <t>D213</t>
  </si>
  <si>
    <t>G215</t>
  </si>
  <si>
    <t>10061</t>
  </si>
  <si>
    <t>10084</t>
  </si>
  <si>
    <t>21601</t>
  </si>
  <si>
    <t>30366</t>
  </si>
  <si>
    <t>40518</t>
  </si>
  <si>
    <t>194761</t>
  </si>
  <si>
    <t>32008X</t>
  </si>
  <si>
    <t>910436</t>
  </si>
  <si>
    <t>917111</t>
  </si>
  <si>
    <t>917177</t>
  </si>
  <si>
    <t>913191</t>
  </si>
  <si>
    <t>913196</t>
  </si>
  <si>
    <t>916600</t>
  </si>
  <si>
    <t>916841</t>
  </si>
  <si>
    <t>917232</t>
  </si>
  <si>
    <t>033011</t>
  </si>
  <si>
    <t>033012</t>
  </si>
  <si>
    <t>10022P</t>
  </si>
  <si>
    <t>10055P</t>
  </si>
  <si>
    <t>108011</t>
  </si>
  <si>
    <t>311044</t>
  </si>
  <si>
    <t>650976</t>
  </si>
  <si>
    <t>651616</t>
  </si>
  <si>
    <t>651705</t>
  </si>
  <si>
    <t>892333</t>
  </si>
  <si>
    <t>A10037</t>
  </si>
  <si>
    <t>CC2826</t>
  </si>
  <si>
    <t>KITSEG2</t>
  </si>
  <si>
    <t>6000841</t>
  </si>
  <si>
    <t>9100705</t>
  </si>
  <si>
    <t>9100769</t>
  </si>
  <si>
    <t>9101025</t>
  </si>
  <si>
    <t>016488</t>
  </si>
  <si>
    <t>031132</t>
  </si>
  <si>
    <t>031138</t>
  </si>
  <si>
    <t>031340</t>
  </si>
  <si>
    <t>0816F6</t>
  </si>
  <si>
    <t>1109AL</t>
  </si>
  <si>
    <t>1109AY</t>
  </si>
  <si>
    <t>1444TT</t>
  </si>
  <si>
    <t>1444TV</t>
  </si>
  <si>
    <t>1444VH</t>
  </si>
  <si>
    <t>1444VK</t>
  </si>
  <si>
    <t>1444XG</t>
  </si>
  <si>
    <t>1618HR</t>
  </si>
  <si>
    <t>1806A6</t>
  </si>
  <si>
    <t>4249K1</t>
  </si>
  <si>
    <t>4254C0</t>
  </si>
  <si>
    <t>4402F8</t>
  </si>
  <si>
    <t>5750ZH</t>
  </si>
  <si>
    <t>5960E6</t>
  </si>
  <si>
    <t>5960L5</t>
  </si>
  <si>
    <t>6447XG</t>
  </si>
  <si>
    <t>6479C2</t>
  </si>
  <si>
    <t>6479C9</t>
  </si>
  <si>
    <t>9734R7</t>
  </si>
  <si>
    <t>LONAJAC</t>
  </si>
  <si>
    <t>Y003110</t>
  </si>
  <si>
    <t>Y041060</t>
  </si>
  <si>
    <t>SHA3211</t>
  </si>
  <si>
    <t>6000610</t>
  </si>
  <si>
    <t>6000621</t>
  </si>
  <si>
    <t>6000624</t>
  </si>
  <si>
    <t>6000690</t>
  </si>
  <si>
    <t>6000691</t>
  </si>
  <si>
    <t>6000692</t>
  </si>
  <si>
    <t>6000699</t>
  </si>
  <si>
    <t>6001031</t>
  </si>
  <si>
    <t>6001043</t>
  </si>
  <si>
    <t>6001045</t>
  </si>
  <si>
    <t>6005024</t>
  </si>
  <si>
    <t>BASECAM</t>
  </si>
  <si>
    <t>FOCOR5W</t>
  </si>
  <si>
    <t>LM1976D</t>
  </si>
  <si>
    <t>MAQ059L</t>
  </si>
  <si>
    <t>FS20217</t>
  </si>
  <si>
    <t>BG109020</t>
  </si>
  <si>
    <t>K0021600</t>
  </si>
  <si>
    <t>K0032300</t>
  </si>
  <si>
    <t>K0050702</t>
  </si>
  <si>
    <t>K0051500</t>
  </si>
  <si>
    <t>A01P2010</t>
  </si>
  <si>
    <t>C3908616</t>
  </si>
  <si>
    <t>S380W001</t>
  </si>
  <si>
    <t>KITSEGERT</t>
  </si>
  <si>
    <t>5262311L</t>
  </si>
  <si>
    <t>5266016F</t>
  </si>
  <si>
    <t>60032RC3</t>
  </si>
  <si>
    <t>DC911768</t>
  </si>
  <si>
    <t>DC914470</t>
  </si>
  <si>
    <t>DP535638</t>
  </si>
  <si>
    <t>DPKS0943</t>
  </si>
  <si>
    <t>KITSEGDS</t>
  </si>
  <si>
    <t>LUBULT01</t>
  </si>
  <si>
    <t>LUBULT04</t>
  </si>
  <si>
    <t>LUBULT05</t>
  </si>
  <si>
    <t>LUBULT07</t>
  </si>
  <si>
    <t>LUBULT08</t>
  </si>
  <si>
    <t>LUBULT10</t>
  </si>
  <si>
    <t>LUBULT11</t>
  </si>
  <si>
    <t>LUBULT15</t>
  </si>
  <si>
    <t>LUBULT16</t>
  </si>
  <si>
    <t>LUBULT17</t>
  </si>
  <si>
    <t>LUBULT18</t>
  </si>
  <si>
    <t>LUBULT26</t>
  </si>
  <si>
    <t>LUBULT30</t>
  </si>
  <si>
    <t>LUBULT32</t>
  </si>
  <si>
    <t>MF55D23L</t>
  </si>
  <si>
    <t>PREST48Z</t>
  </si>
  <si>
    <t>1D001518X</t>
  </si>
  <si>
    <t>1D001518Y</t>
  </si>
  <si>
    <t>1D0018221</t>
  </si>
  <si>
    <t>1D0027YA4</t>
  </si>
  <si>
    <t>1D006124Y</t>
  </si>
  <si>
    <t>1D011518Y</t>
  </si>
  <si>
    <t>1D0115YG0</t>
  </si>
  <si>
    <t>1D021518X</t>
  </si>
  <si>
    <t>1D0216510</t>
  </si>
  <si>
    <t>1D0415260</t>
  </si>
  <si>
    <t>1D0434210</t>
  </si>
  <si>
    <t>1D0434260</t>
  </si>
  <si>
    <t>1D0534300</t>
  </si>
  <si>
    <t>1D0615940</t>
  </si>
  <si>
    <t>1K0010403</t>
  </si>
  <si>
    <t>1K0033692</t>
  </si>
  <si>
    <t>1K0110404</t>
  </si>
  <si>
    <t>1K0110595</t>
  </si>
  <si>
    <t>1K011598X</t>
  </si>
  <si>
    <t>1K016529Y</t>
  </si>
  <si>
    <t>1K0216222</t>
  </si>
  <si>
    <t>1K0361148</t>
  </si>
  <si>
    <t>1K0364416</t>
  </si>
  <si>
    <t>1K0437190</t>
  </si>
  <si>
    <t>1K0461148</t>
  </si>
  <si>
    <t>1K0533022</t>
  </si>
  <si>
    <t>1K0615171</t>
  </si>
  <si>
    <t>1K0623802</t>
  </si>
  <si>
    <t>1K0633694</t>
  </si>
  <si>
    <t>1K0649240</t>
  </si>
  <si>
    <t>1K0710235</t>
  </si>
  <si>
    <t>1K0916410</t>
  </si>
  <si>
    <t>1K0934151</t>
  </si>
  <si>
    <t>1K0934156</t>
  </si>
  <si>
    <t>1K0A15940</t>
  </si>
  <si>
    <t>1K0A23603</t>
  </si>
  <si>
    <t>1K0B26251</t>
  </si>
  <si>
    <t>1K0B33699</t>
  </si>
  <si>
    <t>1K0C23570</t>
  </si>
  <si>
    <t>1K0G16460</t>
  </si>
  <si>
    <t>1K0L33980</t>
  </si>
  <si>
    <t>1K0M18381</t>
  </si>
  <si>
    <t>1K0M33257</t>
  </si>
  <si>
    <t>1K0M33980</t>
  </si>
  <si>
    <t>1K0N34211</t>
  </si>
  <si>
    <t>1K0P34211</t>
  </si>
  <si>
    <t>1K0P51120</t>
  </si>
  <si>
    <t>1K0R3323Z</t>
  </si>
  <si>
    <t>1K0Z18381</t>
  </si>
  <si>
    <t>1K1328700</t>
  </si>
  <si>
    <t>1K1334310</t>
  </si>
  <si>
    <t>1K1434310</t>
  </si>
  <si>
    <t>1K1C34700</t>
  </si>
  <si>
    <t>1WA013ZA5</t>
  </si>
  <si>
    <t>1WA014302</t>
  </si>
  <si>
    <t>B4YB3323Z</t>
  </si>
  <si>
    <t>BBM461J6X</t>
  </si>
  <si>
    <t>BDGF61J6X</t>
  </si>
  <si>
    <t>BEET33251</t>
  </si>
  <si>
    <t>CY0110404</t>
  </si>
  <si>
    <t>D09W61J6X</t>
  </si>
  <si>
    <t>D10E26251</t>
  </si>
  <si>
    <t>D5YG3328Z</t>
  </si>
  <si>
    <t>DA6A34380</t>
  </si>
  <si>
    <t>DAY076220</t>
  </si>
  <si>
    <t>DF7126610</t>
  </si>
  <si>
    <t>DFR534700</t>
  </si>
  <si>
    <t>DFR534900</t>
  </si>
  <si>
    <t>DHYG2643Z</t>
  </si>
  <si>
    <t>DL8V34700</t>
  </si>
  <si>
    <t>DL8V34900</t>
  </si>
  <si>
    <t>FOCOAMBAR</t>
  </si>
  <si>
    <t>FS5021249</t>
  </si>
  <si>
    <t>H30118110</t>
  </si>
  <si>
    <t>H50117103</t>
  </si>
  <si>
    <t>K1YT2643Z</t>
  </si>
  <si>
    <t>K1YT3328Z</t>
  </si>
  <si>
    <t>K2YF2643Z</t>
  </si>
  <si>
    <t>KA0127238</t>
  </si>
  <si>
    <t>KB8C64393</t>
  </si>
  <si>
    <t>KD2W67330</t>
  </si>
  <si>
    <t>KD3132280</t>
  </si>
  <si>
    <t>KD4533251</t>
  </si>
  <si>
    <t>KD4561J6X</t>
  </si>
  <si>
    <t>KR9P61J6X</t>
  </si>
  <si>
    <t>KSL434900</t>
  </si>
  <si>
    <t>L2Y661P11</t>
  </si>
  <si>
    <t>LF0116510</t>
  </si>
  <si>
    <t>P501133A0</t>
  </si>
  <si>
    <t>P51R18100</t>
  </si>
  <si>
    <t>P51T188G1</t>
  </si>
  <si>
    <t>P5PS1886Z</t>
  </si>
  <si>
    <t>P5RV18881</t>
  </si>
  <si>
    <t>PE0113150</t>
  </si>
  <si>
    <t>PE0113890</t>
  </si>
  <si>
    <t>PE0115908</t>
  </si>
  <si>
    <t>PE0116460</t>
  </si>
  <si>
    <t>PE0118221</t>
  </si>
  <si>
    <t>PEAR133A0</t>
  </si>
  <si>
    <t>PEHH133A0</t>
  </si>
  <si>
    <t>PXFV133A0</t>
  </si>
  <si>
    <t>PXPP13ZE0</t>
  </si>
  <si>
    <t>PY8V18110</t>
  </si>
  <si>
    <t>PY8W133A0</t>
  </si>
  <si>
    <t>PY8W14302</t>
  </si>
  <si>
    <t>RF4F13Z40</t>
  </si>
  <si>
    <t>TAY03328Z</t>
  </si>
  <si>
    <t>TK2150355</t>
  </si>
  <si>
    <t>TK4861J6X</t>
  </si>
  <si>
    <t>U20111303</t>
  </si>
  <si>
    <t>U2Y010YA0</t>
  </si>
  <si>
    <t>U6A116103</t>
  </si>
  <si>
    <t>UC2R26610</t>
  </si>
  <si>
    <t>UC9P51074</t>
  </si>
  <si>
    <t>UC9P51094</t>
  </si>
  <si>
    <t>UCYE3323Z</t>
  </si>
  <si>
    <t>UCYR2638Z</t>
  </si>
  <si>
    <t>UH0112613</t>
  </si>
  <si>
    <t>UH0212201</t>
  </si>
  <si>
    <t>UH0212700</t>
  </si>
  <si>
    <t>UH0412614</t>
  </si>
  <si>
    <t>UH7134136</t>
  </si>
  <si>
    <t>UH71510A1</t>
  </si>
  <si>
    <t>UHY12638Z</t>
  </si>
  <si>
    <t>UKY015908</t>
  </si>
  <si>
    <t>W90112700</t>
  </si>
  <si>
    <t>YF091046Y</t>
  </si>
  <si>
    <t>YF09104J5</t>
  </si>
  <si>
    <t>Z6E6133A0</t>
  </si>
  <si>
    <t>ZRB1W0GC0</t>
  </si>
  <si>
    <t>ZRC1W0GE0</t>
  </si>
  <si>
    <t>254558746</t>
  </si>
  <si>
    <t>12JB98277</t>
  </si>
  <si>
    <t>SMD115976</t>
  </si>
  <si>
    <t>SMD132260</t>
  </si>
  <si>
    <t>SMD182294</t>
  </si>
  <si>
    <t>SMD186125</t>
  </si>
  <si>
    <t>SMN158596</t>
  </si>
  <si>
    <t>SMW253694</t>
  </si>
  <si>
    <t>XAA32009X</t>
  </si>
  <si>
    <t>KITSEGH1</t>
  </si>
  <si>
    <t>KITSEGC4</t>
  </si>
  <si>
    <t>DA0070900</t>
  </si>
  <si>
    <t>DA0100400</t>
  </si>
  <si>
    <t>DA0130400</t>
  </si>
  <si>
    <t>DA0181200</t>
  </si>
  <si>
    <t>DA0280400</t>
  </si>
  <si>
    <t>DA0360200</t>
  </si>
  <si>
    <t>EA0101200</t>
  </si>
  <si>
    <t>EA0120400</t>
  </si>
  <si>
    <t>EA0121600</t>
  </si>
  <si>
    <t>KITSEGM90</t>
  </si>
  <si>
    <t>Y016050RL</t>
  </si>
  <si>
    <t>1002017FB</t>
  </si>
  <si>
    <t>1003037GA</t>
  </si>
  <si>
    <t>1003040FB</t>
  </si>
  <si>
    <t>1010210GA</t>
  </si>
  <si>
    <t>1015404GA</t>
  </si>
  <si>
    <t>1023609GA</t>
  </si>
  <si>
    <t>1023611GA</t>
  </si>
  <si>
    <t>1027305GA</t>
  </si>
  <si>
    <t>C5300515L</t>
  </si>
  <si>
    <t>KITMANTT8</t>
  </si>
  <si>
    <t>KITSEGJS3</t>
  </si>
  <si>
    <t>KITSEGJS4</t>
  </si>
  <si>
    <t>KITSEGJS8</t>
  </si>
  <si>
    <t>100005306</t>
  </si>
  <si>
    <t>100007470</t>
  </si>
  <si>
    <t>100013768</t>
  </si>
  <si>
    <t>100018762</t>
  </si>
  <si>
    <t>100024378</t>
  </si>
  <si>
    <t>100025061</t>
  </si>
  <si>
    <t>100032834</t>
  </si>
  <si>
    <t>100037464</t>
  </si>
  <si>
    <t>1276167J00</t>
  </si>
  <si>
    <t>1378063J00</t>
  </si>
  <si>
    <t>2326581A20</t>
  </si>
  <si>
    <t>4918150J40</t>
  </si>
  <si>
    <t>5320081A11</t>
  </si>
  <si>
    <t>5520065D21</t>
  </si>
  <si>
    <t>5520650J00</t>
  </si>
  <si>
    <t>9514161J00</t>
  </si>
  <si>
    <t>9586063J10</t>
  </si>
  <si>
    <t>151100002</t>
  </si>
  <si>
    <t>161517000</t>
  </si>
  <si>
    <t>236000154</t>
  </si>
  <si>
    <t>278205300</t>
  </si>
  <si>
    <t>278208300</t>
  </si>
  <si>
    <t>463057000</t>
  </si>
  <si>
    <t>616483000</t>
  </si>
  <si>
    <t>620700707</t>
  </si>
  <si>
    <t>620700778</t>
  </si>
  <si>
    <t>674072000</t>
  </si>
  <si>
    <t>674081001</t>
  </si>
  <si>
    <t>674224000</t>
  </si>
  <si>
    <t>674493000</t>
  </si>
  <si>
    <t>680000318</t>
  </si>
  <si>
    <t>A04PZD-M1</t>
  </si>
  <si>
    <t>C4989106L</t>
  </si>
  <si>
    <t>KITSEGCX3</t>
  </si>
  <si>
    <t>KITSEGJS2</t>
  </si>
  <si>
    <t>KITSEGJS6</t>
  </si>
  <si>
    <t>LUBFREN04</t>
  </si>
  <si>
    <t>PM-9CFSFS</t>
  </si>
  <si>
    <t>Q40310DRL</t>
  </si>
  <si>
    <t>Q40312DRL</t>
  </si>
  <si>
    <t>TER651107</t>
  </si>
  <si>
    <t>TTL213822</t>
  </si>
  <si>
    <t>TTL214028</t>
  </si>
  <si>
    <t>1010301FA</t>
  </si>
  <si>
    <t>C4897898L</t>
  </si>
  <si>
    <t>LM-3534NL</t>
  </si>
  <si>
    <t>1D0015380C</t>
  </si>
  <si>
    <t>1D0125100A</t>
  </si>
  <si>
    <t>B45A33251A</t>
  </si>
  <si>
    <t>B45A3438XA</t>
  </si>
  <si>
    <t>B45G26251B</t>
  </si>
  <si>
    <t>B6Y114302A</t>
  </si>
  <si>
    <t>B6YS3328ZB</t>
  </si>
  <si>
    <t>BABD684L1A</t>
  </si>
  <si>
    <t>BCYA2643ZB</t>
  </si>
  <si>
    <t>BJY72648ZA</t>
  </si>
  <si>
    <t>BJY73328ZA</t>
  </si>
  <si>
    <t>BLD451160A</t>
  </si>
  <si>
    <t>BN7N66490A</t>
  </si>
  <si>
    <t>BP4L32682B</t>
  </si>
  <si>
    <t>C2Y32648ZA</t>
  </si>
  <si>
    <t>CA0214302A</t>
  </si>
  <si>
    <t>CY0113Z40A</t>
  </si>
  <si>
    <t>D0YN3328ZB</t>
  </si>
  <si>
    <t>D10E340A3C</t>
  </si>
  <si>
    <t>D2Y12643ZA</t>
  </si>
  <si>
    <t>D4YS3328ZA</t>
  </si>
  <si>
    <t>D54E28700B</t>
  </si>
  <si>
    <t>DAY32648ZA</t>
  </si>
  <si>
    <t>DAY32648ZB</t>
  </si>
  <si>
    <t>DB7C28700C</t>
  </si>
  <si>
    <t>DD1V28700G</t>
  </si>
  <si>
    <t>DFR550ES1A</t>
  </si>
  <si>
    <t>DFR551W20C</t>
  </si>
  <si>
    <t>DFZ52643ZB</t>
  </si>
  <si>
    <t>DH2E28910C</t>
  </si>
  <si>
    <t>DH2E34700A</t>
  </si>
  <si>
    <t>DH2E34900A</t>
  </si>
  <si>
    <t>DK5151270B</t>
  </si>
  <si>
    <t>K01126251C</t>
  </si>
  <si>
    <t>K01133251B</t>
  </si>
  <si>
    <t>K020W0052E</t>
  </si>
  <si>
    <t>K020W0053E</t>
  </si>
  <si>
    <t>K0Y12648ZC</t>
  </si>
  <si>
    <t>K0Y13328ZB</t>
  </si>
  <si>
    <t>KA0G34300J</t>
  </si>
  <si>
    <t>KA0G34350J</t>
  </si>
  <si>
    <t>KA0H51684A</t>
  </si>
  <si>
    <t>KA0T34700A</t>
  </si>
  <si>
    <t>KA0T34900A</t>
  </si>
  <si>
    <t>KAY02648ZA</t>
  </si>
  <si>
    <t>KB7W51W50F</t>
  </si>
  <si>
    <t>KB7W67330B</t>
  </si>
  <si>
    <t>KD3534350S</t>
  </si>
  <si>
    <t>KD5350660B</t>
  </si>
  <si>
    <t>KD5356031A</t>
  </si>
  <si>
    <t>KD6134156F</t>
  </si>
  <si>
    <t>KITSEGCX60</t>
  </si>
  <si>
    <t>KITSEGCX90</t>
  </si>
  <si>
    <t>KITSEGM3HB</t>
  </si>
  <si>
    <t>L2Y72648ZA</t>
  </si>
  <si>
    <t>L2Y82643ZC</t>
  </si>
  <si>
    <t>LFHH20490A</t>
  </si>
  <si>
    <t>PAF11518XA</t>
  </si>
  <si>
    <t>PAH9133A0A</t>
  </si>
  <si>
    <t>PE0115355B</t>
  </si>
  <si>
    <t>PE0116410A</t>
  </si>
  <si>
    <t>PE01188G1A</t>
  </si>
  <si>
    <t>PE0315980C</t>
  </si>
  <si>
    <t>PE0815909C</t>
  </si>
  <si>
    <t>PE5R18110A</t>
  </si>
  <si>
    <t>SH0114302A</t>
  </si>
  <si>
    <t>TA0N51041C</t>
  </si>
  <si>
    <t>TC3M34300A</t>
  </si>
  <si>
    <t>TC3M34350A</t>
  </si>
  <si>
    <t>TK7826251A</t>
  </si>
  <si>
    <t>TK7833251B</t>
  </si>
  <si>
    <t>TKY82648ZB</t>
  </si>
  <si>
    <t>TKY83328ZB</t>
  </si>
  <si>
    <t>TN3967Z32A</t>
  </si>
  <si>
    <t>U2Y013Z40A</t>
  </si>
  <si>
    <t>UC2B33251B</t>
  </si>
  <si>
    <t>UC2B513F0A</t>
  </si>
  <si>
    <t>UC2H66223A</t>
  </si>
  <si>
    <t>UC2L6635YB</t>
  </si>
  <si>
    <t>UC2R34110B</t>
  </si>
  <si>
    <t>UH0116490A</t>
  </si>
  <si>
    <t>UH7426251C</t>
  </si>
  <si>
    <t>UR5658310C</t>
  </si>
  <si>
    <t>UR5665710B</t>
  </si>
  <si>
    <t>UR5665720B</t>
  </si>
  <si>
    <t>UR6372560A</t>
  </si>
  <si>
    <t>UR6373310B</t>
  </si>
  <si>
    <t>01125N8061</t>
  </si>
  <si>
    <t>101013014R</t>
  </si>
  <si>
    <t>1102601M02</t>
  </si>
  <si>
    <t>110265505R</t>
  </si>
  <si>
    <t>117201773R</t>
  </si>
  <si>
    <t>117205123R</t>
  </si>
  <si>
    <t>117205678R</t>
  </si>
  <si>
    <t>117206746R</t>
  </si>
  <si>
    <t>117208023R</t>
  </si>
  <si>
    <t>117209708R</t>
  </si>
  <si>
    <t>117209732R</t>
  </si>
  <si>
    <t>118105H71A</t>
  </si>
  <si>
    <t>119203960R</t>
  </si>
  <si>
    <t>130C11551R</t>
  </si>
  <si>
    <t>130C13538R</t>
  </si>
  <si>
    <t>130C17529R</t>
  </si>
  <si>
    <t>135101KT0A</t>
  </si>
  <si>
    <t>152085758R</t>
  </si>
  <si>
    <t>152088127R</t>
  </si>
  <si>
    <t>15208BN30A</t>
  </si>
  <si>
    <t>152093920R</t>
  </si>
  <si>
    <t>152095084R</t>
  </si>
  <si>
    <t>164039587R</t>
  </si>
  <si>
    <t>1654630P00</t>
  </si>
  <si>
    <t>165465171R</t>
  </si>
  <si>
    <t>165466859R</t>
  </si>
  <si>
    <t>165467033R</t>
  </si>
  <si>
    <t>165467674R</t>
  </si>
  <si>
    <t>165467751R</t>
  </si>
  <si>
    <t>165467753R</t>
  </si>
  <si>
    <t>165469466R</t>
  </si>
  <si>
    <t>165469905R</t>
  </si>
  <si>
    <t>215062710R</t>
  </si>
  <si>
    <t>224017628R</t>
  </si>
  <si>
    <t>224018760R</t>
  </si>
  <si>
    <t>224019185R</t>
  </si>
  <si>
    <t>224019372R</t>
  </si>
  <si>
    <t>22401ED71B</t>
  </si>
  <si>
    <t>272770840R</t>
  </si>
  <si>
    <t>272772132R</t>
  </si>
  <si>
    <t>272772520R</t>
  </si>
  <si>
    <t>272773223R</t>
  </si>
  <si>
    <t>272774072R</t>
  </si>
  <si>
    <t>272775JJ0A</t>
  </si>
  <si>
    <t>272779203R</t>
  </si>
  <si>
    <t>272779698R</t>
  </si>
  <si>
    <t>285976230R</t>
  </si>
  <si>
    <t>322033100R</t>
  </si>
  <si>
    <t>364002480R</t>
  </si>
  <si>
    <t>383423705R</t>
  </si>
  <si>
    <t>402063140R</t>
  </si>
  <si>
    <t>402063149R</t>
  </si>
  <si>
    <t>402067902R</t>
  </si>
  <si>
    <t>402107387R</t>
  </si>
  <si>
    <t>410600222R</t>
  </si>
  <si>
    <t>410601408R</t>
  </si>
  <si>
    <t>410602192R</t>
  </si>
  <si>
    <t>410602581R</t>
  </si>
  <si>
    <t>410602596R</t>
  </si>
  <si>
    <t>410602889R</t>
  </si>
  <si>
    <t>410603072R</t>
  </si>
  <si>
    <t>410604979R</t>
  </si>
  <si>
    <t>410606820R</t>
  </si>
  <si>
    <t>410608481R</t>
  </si>
  <si>
    <t>440604591R</t>
  </si>
  <si>
    <t>440605238R</t>
  </si>
  <si>
    <t>497218897R</t>
  </si>
  <si>
    <t>497506724R</t>
  </si>
  <si>
    <t>543027236R</t>
  </si>
  <si>
    <t>543028126R</t>
  </si>
  <si>
    <t>543029110R</t>
  </si>
  <si>
    <t>562100449R</t>
  </si>
  <si>
    <t>562105043R</t>
  </si>
  <si>
    <t>562109279R</t>
  </si>
  <si>
    <t>620876120R</t>
  </si>
  <si>
    <t>623100754R</t>
  </si>
  <si>
    <t>631019761R</t>
  </si>
  <si>
    <t>638135919R</t>
  </si>
  <si>
    <t>656019855R</t>
  </si>
  <si>
    <t>658406210R</t>
  </si>
  <si>
    <t>764362537R</t>
  </si>
  <si>
    <t>7700103245</t>
  </si>
  <si>
    <t>7700106271</t>
  </si>
  <si>
    <t>7700106385</t>
  </si>
  <si>
    <t>7700274026</t>
  </si>
  <si>
    <t>7700500155</t>
  </si>
  <si>
    <t>7700500168</t>
  </si>
  <si>
    <t>7701069212</t>
  </si>
  <si>
    <t>7701210109</t>
  </si>
  <si>
    <t>7701476645</t>
  </si>
  <si>
    <t>7701477024</t>
  </si>
  <si>
    <t>7703002949</t>
  </si>
  <si>
    <t>7703034250</t>
  </si>
  <si>
    <t>7703083469</t>
  </si>
  <si>
    <t>7711945906</t>
  </si>
  <si>
    <t>7711946171</t>
  </si>
  <si>
    <t>8200052312</t>
  </si>
  <si>
    <t>8200276360</t>
  </si>
  <si>
    <t>8200386495</t>
  </si>
  <si>
    <t>8200431051</t>
  </si>
  <si>
    <t>8200557644</t>
  </si>
  <si>
    <t>8200772985</t>
  </si>
  <si>
    <t>8201153808</t>
  </si>
  <si>
    <t>8201666465</t>
  </si>
  <si>
    <t>8201666468</t>
  </si>
  <si>
    <t>8201676037</t>
  </si>
  <si>
    <t>850443729R</t>
  </si>
  <si>
    <t>8550503619</t>
  </si>
  <si>
    <t>924401309R</t>
  </si>
  <si>
    <t>990B82370R</t>
  </si>
  <si>
    <t>KITSEGKWID</t>
  </si>
  <si>
    <t>1002250E06</t>
  </si>
  <si>
    <t>1002350E06</t>
  </si>
  <si>
    <t>1002460E02</t>
  </si>
  <si>
    <t>1003012E00</t>
  </si>
  <si>
    <t>1006060E06</t>
  </si>
  <si>
    <t>1012020E00</t>
  </si>
  <si>
    <t>1105010D01</t>
  </si>
  <si>
    <t>1105103P00</t>
  </si>
  <si>
    <t>1109101S16</t>
  </si>
  <si>
    <t>1109102K00</t>
  </si>
  <si>
    <t>1109110P64</t>
  </si>
  <si>
    <t>1117100V08</t>
  </si>
  <si>
    <t>1307012E06</t>
  </si>
  <si>
    <t>1307012E09</t>
  </si>
  <si>
    <t>2302130K01</t>
  </si>
  <si>
    <t>2402200K54</t>
  </si>
  <si>
    <t>2403110K00</t>
  </si>
  <si>
    <t>2904050K00</t>
  </si>
  <si>
    <t>3001109D01</t>
  </si>
  <si>
    <t>3103101P01</t>
  </si>
  <si>
    <t>3103110K00</t>
  </si>
  <si>
    <t>3412011K00</t>
  </si>
  <si>
    <t>3412011K54</t>
  </si>
  <si>
    <t>3501140G08</t>
  </si>
  <si>
    <t>3502011P00</t>
  </si>
  <si>
    <t>3502105K00</t>
  </si>
  <si>
    <t>3502106K00</t>
  </si>
  <si>
    <t>3502108K00</t>
  </si>
  <si>
    <t>3502137P01</t>
  </si>
  <si>
    <t>3502340G08</t>
  </si>
  <si>
    <t>3507120K00</t>
  </si>
  <si>
    <t>3707010E01</t>
  </si>
  <si>
    <t>8103012K00</t>
  </si>
  <si>
    <t>8103110K00</t>
  </si>
  <si>
    <t>8104400K12</t>
  </si>
  <si>
    <t>8107200P09</t>
  </si>
  <si>
    <t>8107300P00</t>
  </si>
  <si>
    <t>KITSEGBT50</t>
  </si>
  <si>
    <t>LONAWINGLE</t>
  </si>
  <si>
    <t>SMD136466V</t>
  </si>
  <si>
    <t>SMD346924G</t>
  </si>
  <si>
    <t>450343OTS</t>
  </si>
  <si>
    <t>7013QVOTS</t>
  </si>
  <si>
    <t>7013QWOTS</t>
  </si>
  <si>
    <t>7013QXOTS</t>
  </si>
  <si>
    <t>KITSEGC4C</t>
  </si>
  <si>
    <t>C201135300</t>
  </si>
  <si>
    <t>CM50130201</t>
  </si>
  <si>
    <t>H150021010</t>
  </si>
  <si>
    <t>H160010800</t>
  </si>
  <si>
    <t>H160010810</t>
  </si>
  <si>
    <t>KITSEGA500</t>
  </si>
  <si>
    <t>KITSEGCS15</t>
  </si>
  <si>
    <t>KITSEGCS55</t>
  </si>
  <si>
    <t>KITSEGCS75</t>
  </si>
  <si>
    <t>KITSEGSUPV</t>
  </si>
  <si>
    <t>KITSEGUNIT</t>
  </si>
  <si>
    <t>1009102RAA</t>
  </si>
  <si>
    <t>1012100TNB</t>
  </si>
  <si>
    <t>1026104GAA</t>
  </si>
  <si>
    <t>31911V2210</t>
  </si>
  <si>
    <t>4203930010</t>
  </si>
  <si>
    <t>491404A500</t>
  </si>
  <si>
    <t>528204A060</t>
  </si>
  <si>
    <t>581014AA32</t>
  </si>
  <si>
    <t>81991V2091</t>
  </si>
  <si>
    <t>FWJ-25AOTS</t>
  </si>
  <si>
    <t>2000003520</t>
  </si>
  <si>
    <t>2000003693</t>
  </si>
  <si>
    <t>2000003865</t>
  </si>
  <si>
    <t>2000004023</t>
  </si>
  <si>
    <t>2000004554</t>
  </si>
  <si>
    <t>2000004793</t>
  </si>
  <si>
    <t>2000004795</t>
  </si>
  <si>
    <t>2000005240</t>
  </si>
  <si>
    <t>2000005241</t>
  </si>
  <si>
    <t>2000005242</t>
  </si>
  <si>
    <t>2000005243</t>
  </si>
  <si>
    <t>2000005244</t>
  </si>
  <si>
    <t>2000005247</t>
  </si>
  <si>
    <t>2000005430</t>
  </si>
  <si>
    <t>2000005723</t>
  </si>
  <si>
    <t>2000007134</t>
  </si>
  <si>
    <t>2000007164</t>
  </si>
  <si>
    <t>2000009238</t>
  </si>
  <si>
    <t>2000009246</t>
  </si>
  <si>
    <t>2000010241</t>
  </si>
  <si>
    <t>2000014170</t>
  </si>
  <si>
    <t>2000014171</t>
  </si>
  <si>
    <t>2000014172</t>
  </si>
  <si>
    <t>6207345738</t>
  </si>
  <si>
    <t>63350XC10D</t>
  </si>
  <si>
    <t>91036FN210</t>
  </si>
  <si>
    <t>91059FN010</t>
  </si>
  <si>
    <t>13780M67L00</t>
  </si>
  <si>
    <t>1752177-E20</t>
  </si>
  <si>
    <t>DPCAMBALENO</t>
  </si>
  <si>
    <t>KITSEGDZIRE</t>
  </si>
  <si>
    <t>LFR5A-11-BR</t>
  </si>
  <si>
    <t>TANQLENT7GL</t>
  </si>
  <si>
    <t>VASO14DZIRE</t>
  </si>
  <si>
    <t>1014003350</t>
  </si>
  <si>
    <t>CAMRG-185W</t>
  </si>
  <si>
    <t>KITSEGCX70</t>
  </si>
  <si>
    <t>KITSEGNGH6</t>
  </si>
  <si>
    <t>LAMINACH05</t>
  </si>
  <si>
    <t>LAMINACH20</t>
  </si>
  <si>
    <t>LAMINACH35</t>
  </si>
  <si>
    <t>LAMINACH50</t>
  </si>
  <si>
    <t>LUBACTVE12</t>
  </si>
  <si>
    <t>LUBEVO04CL</t>
  </si>
  <si>
    <t>LUBULT04CC</t>
  </si>
  <si>
    <t>LUBULT06PE</t>
  </si>
  <si>
    <t>LUBULT10PE</t>
  </si>
  <si>
    <t>LUBULT15CL</t>
  </si>
  <si>
    <t>LUBULT16CC</t>
  </si>
  <si>
    <t>N1KITSEGT9</t>
  </si>
  <si>
    <t>Q360B10DRL</t>
  </si>
  <si>
    <t>Q360B12DRL</t>
  </si>
  <si>
    <t>1026106GAA</t>
  </si>
  <si>
    <t>4208040740</t>
  </si>
  <si>
    <t>1D0013680RL</t>
  </si>
  <si>
    <t>1D0188YF8RL</t>
  </si>
  <si>
    <t>E2Z457K80RL</t>
  </si>
  <si>
    <t>GRYB57K80RL</t>
  </si>
  <si>
    <t>S2Y357K80RL</t>
  </si>
  <si>
    <t>SEGLLANBT50</t>
  </si>
  <si>
    <t>U2Y115YG0RL</t>
  </si>
  <si>
    <t>URZ457K80RL</t>
  </si>
  <si>
    <t>1017100ED01</t>
  </si>
  <si>
    <t>1017100EG01</t>
  </si>
  <si>
    <t>1021013ED01</t>
  </si>
  <si>
    <t>1021200ED01</t>
  </si>
  <si>
    <t>1021700ED01</t>
  </si>
  <si>
    <t>1306100ED01</t>
  </si>
  <si>
    <t>1306100EG01</t>
  </si>
  <si>
    <t>1307012-E09</t>
  </si>
  <si>
    <t>1307012ED01</t>
  </si>
  <si>
    <t>3412011AK08</t>
  </si>
  <si>
    <t>1606267680</t>
  </si>
  <si>
    <t>1606402680</t>
  </si>
  <si>
    <t>1608691680</t>
  </si>
  <si>
    <t>1609065580</t>
  </si>
  <si>
    <t>1609428180</t>
  </si>
  <si>
    <t>1609583080</t>
  </si>
  <si>
    <t>1611425780</t>
  </si>
  <si>
    <t>1613704080</t>
  </si>
  <si>
    <t>1615049280</t>
  </si>
  <si>
    <t>1616394580</t>
  </si>
  <si>
    <t>1616883480</t>
  </si>
  <si>
    <t>1629038380</t>
  </si>
  <si>
    <t>1631831780</t>
  </si>
  <si>
    <t>1635511180</t>
  </si>
  <si>
    <t>1635764180</t>
  </si>
  <si>
    <t>1635764980</t>
  </si>
  <si>
    <t>1638498080</t>
  </si>
  <si>
    <t>1647862480</t>
  </si>
  <si>
    <t>1647863480</t>
  </si>
  <si>
    <t>1647863580</t>
  </si>
  <si>
    <t>1647874380</t>
  </si>
  <si>
    <t>1647880280</t>
  </si>
  <si>
    <t>1647883380</t>
  </si>
  <si>
    <t>1654507180</t>
  </si>
  <si>
    <t>1654514280</t>
  </si>
  <si>
    <t>1654515880</t>
  </si>
  <si>
    <t>1654517280</t>
  </si>
  <si>
    <t>1673603880</t>
  </si>
  <si>
    <t>1680791780</t>
  </si>
  <si>
    <t>1682801680</t>
  </si>
  <si>
    <t>9674725580</t>
  </si>
  <si>
    <t>9675073180</t>
  </si>
  <si>
    <t>9675749480</t>
  </si>
  <si>
    <t>9675987380</t>
  </si>
  <si>
    <t>9676288180</t>
  </si>
  <si>
    <t>9677616580</t>
  </si>
  <si>
    <t>9677616680</t>
  </si>
  <si>
    <t>9800097580</t>
  </si>
  <si>
    <t>9801366680</t>
  </si>
  <si>
    <t>9804617380</t>
  </si>
  <si>
    <t>9805552080</t>
  </si>
  <si>
    <t>9808206880</t>
  </si>
  <si>
    <t>9808674780</t>
  </si>
  <si>
    <t>9808867880</t>
  </si>
  <si>
    <t>9810820080</t>
  </si>
  <si>
    <t>9813059580</t>
  </si>
  <si>
    <t>9814237680</t>
  </si>
  <si>
    <t>98176962XT</t>
  </si>
  <si>
    <t>9818914980</t>
  </si>
  <si>
    <t>9819663880</t>
  </si>
  <si>
    <t>9820932180</t>
  </si>
  <si>
    <t>9827488680</t>
  </si>
  <si>
    <t>B2110320300</t>
  </si>
  <si>
    <t>B3110550300</t>
  </si>
  <si>
    <t>B3110550301</t>
  </si>
  <si>
    <t>B3110560200</t>
  </si>
  <si>
    <t>B3110560400</t>
  </si>
  <si>
    <t>B3110560401</t>
  </si>
  <si>
    <t>B3110931600</t>
  </si>
  <si>
    <t>B3110931700</t>
  </si>
  <si>
    <t>B3111051300</t>
  </si>
  <si>
    <t>B3111082900</t>
  </si>
  <si>
    <t>B5010170203</t>
  </si>
  <si>
    <t>C2010140101</t>
  </si>
  <si>
    <t>C2010140102</t>
  </si>
  <si>
    <t>CM100301500</t>
  </si>
  <si>
    <t>CM100301600</t>
  </si>
  <si>
    <t>CM100350102</t>
  </si>
  <si>
    <t>CM100380801</t>
  </si>
  <si>
    <t>CM100380802</t>
  </si>
  <si>
    <t>CM100380803</t>
  </si>
  <si>
    <t>CM100380804</t>
  </si>
  <si>
    <t>CM100391200</t>
  </si>
  <si>
    <t>CM100391201</t>
  </si>
  <si>
    <t>CM100391600</t>
  </si>
  <si>
    <t>CM100631000</t>
  </si>
  <si>
    <t>CM101571200</t>
  </si>
  <si>
    <t>DA150130500</t>
  </si>
  <si>
    <t>DA150140700</t>
  </si>
  <si>
    <t>DA180060400</t>
  </si>
  <si>
    <t>DA180060900</t>
  </si>
  <si>
    <t>DA180080600</t>
  </si>
  <si>
    <t>DA180200200</t>
  </si>
  <si>
    <t>DF727A01107</t>
  </si>
  <si>
    <t>EA0081900AB</t>
  </si>
  <si>
    <t>F1020170203</t>
  </si>
  <si>
    <t>F2020430400</t>
  </si>
  <si>
    <t>F2020430401</t>
  </si>
  <si>
    <t>G1010000603</t>
  </si>
  <si>
    <t>G1010000606</t>
  </si>
  <si>
    <t>G1010002703</t>
  </si>
  <si>
    <t>G1010381201</t>
  </si>
  <si>
    <t>G1010460200</t>
  </si>
  <si>
    <t>G1010900200</t>
  </si>
  <si>
    <t>G1010981201</t>
  </si>
  <si>
    <t>G1010991600</t>
  </si>
  <si>
    <t>H15T0020700</t>
  </si>
  <si>
    <t>H15T0021200</t>
  </si>
  <si>
    <t>M2010170300</t>
  </si>
  <si>
    <t>M2010451600</t>
  </si>
  <si>
    <t>R1010240101</t>
  </si>
  <si>
    <t>R1020140800</t>
  </si>
  <si>
    <t>R1020970500</t>
  </si>
  <si>
    <t>R1030290115</t>
  </si>
  <si>
    <t>R1030290117</t>
  </si>
  <si>
    <t>R1030290118</t>
  </si>
  <si>
    <t>R1030350102</t>
  </si>
  <si>
    <t>R1030350104</t>
  </si>
  <si>
    <t>R1030350204</t>
  </si>
  <si>
    <t>R1030510301</t>
  </si>
  <si>
    <t>R1030930200</t>
  </si>
  <si>
    <t>R1030950311</t>
  </si>
  <si>
    <t>S1010140400</t>
  </si>
  <si>
    <t>S1010302100</t>
  </si>
  <si>
    <t>S1010491000</t>
  </si>
  <si>
    <t>S1010620304</t>
  </si>
  <si>
    <t>S1010620305</t>
  </si>
  <si>
    <t>S1010621202</t>
  </si>
  <si>
    <t>S1010630404</t>
  </si>
  <si>
    <t>S1010630406</t>
  </si>
  <si>
    <t>S2010413700</t>
  </si>
  <si>
    <t>S2010560200</t>
  </si>
  <si>
    <t>S2010560900</t>
  </si>
  <si>
    <t>S2010570300</t>
  </si>
  <si>
    <t>S2010580300</t>
  </si>
  <si>
    <t>S2010580900</t>
  </si>
  <si>
    <t>S2010640500</t>
  </si>
  <si>
    <t>S3010140903</t>
  </si>
  <si>
    <t>3741200R001</t>
  </si>
  <si>
    <t>3741220R001</t>
  </si>
  <si>
    <t>43030-V7100</t>
  </si>
  <si>
    <t>51701-44030</t>
  </si>
  <si>
    <t>51830-44000</t>
  </si>
  <si>
    <t>KITSEGJACS3</t>
  </si>
  <si>
    <t>KITSEGJACT6</t>
  </si>
  <si>
    <t>MAQ004ISOPE</t>
  </si>
  <si>
    <t>S1011262600</t>
  </si>
  <si>
    <t>S31030040G0</t>
  </si>
  <si>
    <t>S35010030F3</t>
  </si>
  <si>
    <t>2326565D0000</t>
  </si>
  <si>
    <t>2810478810RX</t>
  </si>
  <si>
    <t>4241265J0000</t>
  </si>
  <si>
    <t>5340165D0000</t>
  </si>
  <si>
    <t>5340265D0000</t>
  </si>
  <si>
    <t>928330074000</t>
  </si>
  <si>
    <t>KITSEGNWGVIT</t>
  </si>
  <si>
    <t>KITSEGSCROSS</t>
  </si>
  <si>
    <t>KITSEGSUZAPV</t>
  </si>
  <si>
    <t>KITSEGSUZJIM</t>
  </si>
  <si>
    <t>SENSORES1071</t>
  </si>
  <si>
    <t>00720 111 1</t>
  </si>
  <si>
    <t>00720 116 3</t>
  </si>
  <si>
    <t>00720 116 7</t>
  </si>
  <si>
    <t>00720 132 1</t>
  </si>
  <si>
    <t>00720 134 1</t>
  </si>
  <si>
    <t>00720 138 3</t>
  </si>
  <si>
    <t>00720 162 1</t>
  </si>
  <si>
    <t>00720 171 1</t>
  </si>
  <si>
    <t>132101U8010</t>
  </si>
  <si>
    <t>30720 710 1</t>
  </si>
  <si>
    <t>30720 711 1</t>
  </si>
  <si>
    <t>30720 712 1</t>
  </si>
  <si>
    <t>30720 738 3</t>
  </si>
  <si>
    <t>30720 762 1</t>
  </si>
  <si>
    <t>30720 763 1</t>
  </si>
  <si>
    <t>30720 763 2</t>
  </si>
  <si>
    <t>85W140SHELL</t>
  </si>
  <si>
    <t>ALPRESAPS25</t>
  </si>
  <si>
    <t>DPARP024L55</t>
  </si>
  <si>
    <t>DPMAG1CVTFS</t>
  </si>
  <si>
    <t>DPMULTIPOER</t>
  </si>
  <si>
    <t>KITSEGDARGO</t>
  </si>
  <si>
    <t>KITSEGFRONX</t>
  </si>
  <si>
    <t>KITSEGHAVH6</t>
  </si>
  <si>
    <t>KITSEGJACT8</t>
  </si>
  <si>
    <t>KITSEGNWCX5</t>
  </si>
  <si>
    <t>N1KITSEGCX3</t>
  </si>
  <si>
    <t>N1KITSEGJOL</t>
  </si>
  <si>
    <t>2905010D800</t>
  </si>
  <si>
    <t>3802950E800</t>
  </si>
  <si>
    <t>640-1012240</t>
  </si>
  <si>
    <t>MAQ001ISOPE</t>
  </si>
  <si>
    <t>MAQ006ISOPE</t>
  </si>
  <si>
    <t>1K0S66171 88</t>
  </si>
  <si>
    <t>1K6869210 00</t>
  </si>
  <si>
    <t>995621000OTS</t>
  </si>
  <si>
    <t>BBY97661XBRL</t>
  </si>
  <si>
    <t>BHS257L30D02</t>
  </si>
  <si>
    <t>D1YE7661XARL</t>
  </si>
  <si>
    <t>DA8A42166OTS</t>
  </si>
  <si>
    <t>G4YC675XXOTS</t>
  </si>
  <si>
    <t>GSZE57K80ARL</t>
  </si>
  <si>
    <t>KAYL510A2OTS</t>
  </si>
  <si>
    <t>KDY5675XXOTS</t>
  </si>
  <si>
    <t>KITSEGNWM3HB</t>
  </si>
  <si>
    <t>KR22691N7 KM</t>
  </si>
  <si>
    <t>P5Y113350OTS</t>
  </si>
  <si>
    <t>PEY313350OTS</t>
  </si>
  <si>
    <t>PYY213350OTS</t>
  </si>
  <si>
    <t>TK48691N1A64</t>
  </si>
  <si>
    <t>TK4950031JBB</t>
  </si>
  <si>
    <t>TKY2675XXOTS</t>
  </si>
  <si>
    <t>U2Y1187658RL</t>
  </si>
  <si>
    <t>U601199G0JRL</t>
  </si>
  <si>
    <t>KITSEGCAPTUR</t>
  </si>
  <si>
    <t>KITSEGDUSTER</t>
  </si>
  <si>
    <t>KITSEGKOLEOS</t>
  </si>
  <si>
    <t>1002450E02A1</t>
  </si>
  <si>
    <t>1003200XEC01</t>
  </si>
  <si>
    <t>1003200XED95</t>
  </si>
  <si>
    <t>1003920XEN01</t>
  </si>
  <si>
    <t>1007011XED95</t>
  </si>
  <si>
    <t>1007012XED95</t>
  </si>
  <si>
    <t>1007100CED01</t>
  </si>
  <si>
    <t>1008101XED95</t>
  </si>
  <si>
    <t>1008300XED61</t>
  </si>
  <si>
    <t>1009305XEC06</t>
  </si>
  <si>
    <t>1017100AEC01</t>
  </si>
  <si>
    <t>1017110XED95</t>
  </si>
  <si>
    <t>1017110XEN01</t>
  </si>
  <si>
    <t>1021701XED61</t>
  </si>
  <si>
    <t>1021910XED61</t>
  </si>
  <si>
    <t>1100100XED95</t>
  </si>
  <si>
    <t>1109101K08A1</t>
  </si>
  <si>
    <t>1109110P00A1</t>
  </si>
  <si>
    <t>1111100XED61</t>
  </si>
  <si>
    <t>1111402AED09</t>
  </si>
  <si>
    <t>1111402XED95</t>
  </si>
  <si>
    <t>1111402XED96</t>
  </si>
  <si>
    <t>1207110XED95</t>
  </si>
  <si>
    <t>3611090XED95</t>
  </si>
  <si>
    <t>3701011XED95</t>
  </si>
  <si>
    <t>3707100WEC05</t>
  </si>
  <si>
    <t>3707100XEN01</t>
  </si>
  <si>
    <t>3770100AED01</t>
  </si>
  <si>
    <t>3770100AED61</t>
  </si>
  <si>
    <t>6002LLUC/2A8</t>
  </si>
  <si>
    <t>8107200P00A1</t>
  </si>
  <si>
    <t>1602111KZ16</t>
  </si>
  <si>
    <t>236616030OTS</t>
  </si>
  <si>
    <t>CM1015981200</t>
  </si>
  <si>
    <t>DAT150080100</t>
  </si>
  <si>
    <t>DF727A019020</t>
  </si>
  <si>
    <t>H160170201AA</t>
  </si>
  <si>
    <t>KITSEGGNEWSV</t>
  </si>
  <si>
    <t>KITSEGHONORS</t>
  </si>
  <si>
    <t>KITSEGNWCS15</t>
  </si>
  <si>
    <t>NE14T0030200</t>
  </si>
  <si>
    <t>NE14T0040010</t>
  </si>
  <si>
    <t>PC2010041701</t>
  </si>
  <si>
    <t>PC2010061101</t>
  </si>
  <si>
    <t>PC2010061502</t>
  </si>
  <si>
    <t>PC2010120501</t>
  </si>
  <si>
    <t>PC2010133701</t>
  </si>
  <si>
    <t>PC2010134501</t>
  </si>
  <si>
    <t>PC2010151201</t>
  </si>
  <si>
    <t>PC2010242602</t>
  </si>
  <si>
    <t>PC2010262102</t>
  </si>
  <si>
    <t>PC2010500901</t>
  </si>
  <si>
    <t>PC2010580401</t>
  </si>
  <si>
    <t>PC2010580701</t>
  </si>
  <si>
    <t>PC2010580801</t>
  </si>
  <si>
    <t>PC2010981202</t>
  </si>
  <si>
    <t>PC2011040901</t>
  </si>
  <si>
    <t>PC2011410201</t>
  </si>
  <si>
    <t>PROTTOLVAF70</t>
  </si>
  <si>
    <t>1001700V6550</t>
  </si>
  <si>
    <t>1002015FB040</t>
  </si>
  <si>
    <t>1002016FB040</t>
  </si>
  <si>
    <t>1003014FD040</t>
  </si>
  <si>
    <t>1003015FD020</t>
  </si>
  <si>
    <t>1003036GD150</t>
  </si>
  <si>
    <t>1004010FD020</t>
  </si>
  <si>
    <t>1004027FB040</t>
  </si>
  <si>
    <t>1009105FE010</t>
  </si>
  <si>
    <t>1009113FB100</t>
  </si>
  <si>
    <t>1010210GD052</t>
  </si>
  <si>
    <t>1010320FB040</t>
  </si>
  <si>
    <t>1010320FB100</t>
  </si>
  <si>
    <t>1010320FD060</t>
  </si>
  <si>
    <t>1015601GD150</t>
  </si>
  <si>
    <t>1015602GD150</t>
  </si>
  <si>
    <t>1015610GD150</t>
  </si>
  <si>
    <t>1015620GD150</t>
  </si>
  <si>
    <t>1017100GG010</t>
  </si>
  <si>
    <t>1021018FD020</t>
  </si>
  <si>
    <t>1021019FD020</t>
  </si>
  <si>
    <t>1021060FD020</t>
  </si>
  <si>
    <t>1021070FD020</t>
  </si>
  <si>
    <t>1021080FD020</t>
  </si>
  <si>
    <t>1021090FD020</t>
  </si>
  <si>
    <t>1021110FD020</t>
  </si>
  <si>
    <t>1021120FD020</t>
  </si>
  <si>
    <t>1023611GD150</t>
  </si>
  <si>
    <t>1025014GH050</t>
  </si>
  <si>
    <t>1025014GH055</t>
  </si>
  <si>
    <t>1025018FB014</t>
  </si>
  <si>
    <t>1025018FD040</t>
  </si>
  <si>
    <t>1025400FD020</t>
  </si>
  <si>
    <t>1025800FD020</t>
  </si>
  <si>
    <t>1026080GG010</t>
  </si>
  <si>
    <t>1026080GH030</t>
  </si>
  <si>
    <t>1026080GH500</t>
  </si>
  <si>
    <t>1026140FD020</t>
  </si>
  <si>
    <t>1026150FD020</t>
  </si>
  <si>
    <t>1026170FE010</t>
  </si>
  <si>
    <t>1026190FD020</t>
  </si>
  <si>
    <t>1026321FD040</t>
  </si>
  <si>
    <t>1026322FD040</t>
  </si>
  <si>
    <t>1026340FD020</t>
  </si>
  <si>
    <t>1026621GD050</t>
  </si>
  <si>
    <t>1041050FD020</t>
  </si>
  <si>
    <t>1042200FD020</t>
  </si>
  <si>
    <t>1103010P3010</t>
  </si>
  <si>
    <t>1105010W5030</t>
  </si>
  <si>
    <t>1105011R0070</t>
  </si>
  <si>
    <t>1105013P3030</t>
  </si>
  <si>
    <t>1105014P3012</t>
  </si>
  <si>
    <t>1105014P31F0</t>
  </si>
  <si>
    <t>1105020DX150</t>
  </si>
  <si>
    <t>1105020LE058</t>
  </si>
  <si>
    <t>1105021R0070</t>
  </si>
  <si>
    <t>1105022P3012</t>
  </si>
  <si>
    <t>1105023P3012</t>
  </si>
  <si>
    <t>1105100U1010</t>
  </si>
  <si>
    <t>1105100U2010</t>
  </si>
  <si>
    <t>1105100U8010</t>
  </si>
  <si>
    <t>1105100U8050</t>
  </si>
  <si>
    <t>1105202V6530</t>
  </si>
  <si>
    <t>1109020P3060</t>
  </si>
  <si>
    <t>1109120U2010</t>
  </si>
  <si>
    <t>1109120U2210</t>
  </si>
  <si>
    <t>1109120U8710</t>
  </si>
  <si>
    <t>1109130P3030</t>
  </si>
  <si>
    <t>1109130P3040</t>
  </si>
  <si>
    <t>1109130P33H2</t>
  </si>
  <si>
    <t>1109130S5500</t>
  </si>
  <si>
    <t>1109130U1510</t>
  </si>
  <si>
    <t>1109130U2400</t>
  </si>
  <si>
    <t>1109130U9020</t>
  </si>
  <si>
    <t>1109130V5070</t>
  </si>
  <si>
    <t>1109130V6500</t>
  </si>
  <si>
    <t>1200230U8510</t>
  </si>
  <si>
    <t>1200240U8510</t>
  </si>
  <si>
    <t>1205231P3030</t>
  </si>
  <si>
    <t>1205232P3030</t>
  </si>
  <si>
    <t>1311100U8510</t>
  </si>
  <si>
    <t>1608010P306A</t>
  </si>
  <si>
    <t>1608100U3400</t>
  </si>
  <si>
    <t>1703400P3060</t>
  </si>
  <si>
    <t>2803142U2400</t>
  </si>
  <si>
    <t>2804100P306A</t>
  </si>
  <si>
    <t>2804105P306A</t>
  </si>
  <si>
    <t>2804200P306A</t>
  </si>
  <si>
    <t>2901100U8910</t>
  </si>
  <si>
    <t>2901200U8910</t>
  </si>
  <si>
    <t>2901310U1910</t>
  </si>
  <si>
    <t>2901710U8910</t>
  </si>
  <si>
    <t>2902020W5000</t>
  </si>
  <si>
    <t>2904300P3010</t>
  </si>
  <si>
    <t>2904320P3010</t>
  </si>
  <si>
    <t>2904330P3010</t>
  </si>
  <si>
    <t>2904340P3010</t>
  </si>
  <si>
    <t>2904350P3010</t>
  </si>
  <si>
    <t>2904360P3010</t>
  </si>
  <si>
    <t>2904400P3010</t>
  </si>
  <si>
    <t>2904500P3010</t>
  </si>
  <si>
    <t>2904510P3010</t>
  </si>
  <si>
    <t>2904530P3010</t>
  </si>
  <si>
    <t>2904540P3010</t>
  </si>
  <si>
    <t>2904600P3010</t>
  </si>
  <si>
    <t>2905010P3010</t>
  </si>
  <si>
    <t>2905100P3010</t>
  </si>
  <si>
    <t>2905100U3400</t>
  </si>
  <si>
    <t>2905110U3400</t>
  </si>
  <si>
    <t>2905200U3400</t>
  </si>
  <si>
    <t>2905210U3400</t>
  </si>
  <si>
    <t>2906013P3010</t>
  </si>
  <si>
    <t>2906020P3010</t>
  </si>
  <si>
    <t>2906030P3010</t>
  </si>
  <si>
    <t>2906210U8510</t>
  </si>
  <si>
    <t>2906220U3400</t>
  </si>
  <si>
    <t>2906220U8510</t>
  </si>
  <si>
    <t>2911200U1910</t>
  </si>
  <si>
    <t>2915010P3010</t>
  </si>
  <si>
    <t>2915013P3010</t>
  </si>
  <si>
    <t>3101032U2210</t>
  </si>
  <si>
    <t>3103100P3060</t>
  </si>
  <si>
    <t>3406030R0070</t>
  </si>
  <si>
    <t>3501020P3010</t>
  </si>
  <si>
    <t>3501050P3010</t>
  </si>
  <si>
    <t>3503300S5500</t>
  </si>
  <si>
    <t>3504050P3031</t>
  </si>
  <si>
    <t>3504300P33A0</t>
  </si>
  <si>
    <t>3540100U19AN</t>
  </si>
  <si>
    <t>3550030P3031</t>
  </si>
  <si>
    <t>3603200U7313</t>
  </si>
  <si>
    <t>3667340U3480</t>
  </si>
  <si>
    <t>3704020R0090</t>
  </si>
  <si>
    <t>4003100P3334</t>
  </si>
  <si>
    <t>4121400U2401</t>
  </si>
  <si>
    <t>4133100P306A</t>
  </si>
  <si>
    <t>4133300P306A</t>
  </si>
  <si>
    <t>5001105P3010</t>
  </si>
  <si>
    <t>5205080U3400</t>
  </si>
  <si>
    <t>5207100U3480</t>
  </si>
  <si>
    <t>5512700P306A</t>
  </si>
  <si>
    <t>5512800P306A</t>
  </si>
  <si>
    <t>5522300P306A</t>
  </si>
  <si>
    <t>6205280S5500</t>
  </si>
  <si>
    <t>7911030V6533</t>
  </si>
  <si>
    <t>8100101P3010</t>
  </si>
  <si>
    <t>8104102P3010</t>
  </si>
  <si>
    <t>8113120G1P10</t>
  </si>
  <si>
    <t>8401500P306A</t>
  </si>
  <si>
    <t>8506300P3011</t>
  </si>
  <si>
    <t>H106-3411705</t>
  </si>
  <si>
    <t>H106-3411725</t>
  </si>
  <si>
    <t>KITSEGREFINE</t>
  </si>
  <si>
    <t>PROTTOLVAJAC</t>
  </si>
  <si>
    <t>S11090010-A7</t>
  </si>
  <si>
    <t>S35020010-F3</t>
  </si>
  <si>
    <t>S37410070-D1</t>
  </si>
  <si>
    <t>60009SJ0109P</t>
  </si>
  <si>
    <t>0948200427000</t>
  </si>
  <si>
    <t>0948200642000</t>
  </si>
  <si>
    <t>0948200647000</t>
  </si>
  <si>
    <t>1117969G01000</t>
  </si>
  <si>
    <t>1118962R10000</t>
  </si>
  <si>
    <t>1161073R01000</t>
  </si>
  <si>
    <t>1276162M00000</t>
  </si>
  <si>
    <t>1276167J00000</t>
  </si>
  <si>
    <t>1276171C20000</t>
  </si>
  <si>
    <t>1281071C02000</t>
  </si>
  <si>
    <t>1378058M00000</t>
  </si>
  <si>
    <t>1378061J00000</t>
  </si>
  <si>
    <t>1378061M00000</t>
  </si>
  <si>
    <t>1378063J00000</t>
  </si>
  <si>
    <t>1378065J00000</t>
  </si>
  <si>
    <t>1378068M00000</t>
  </si>
  <si>
    <t>1378071L00000</t>
  </si>
  <si>
    <t>1378073R00000</t>
  </si>
  <si>
    <t>1378078K00000</t>
  </si>
  <si>
    <t>1378078R00000</t>
  </si>
  <si>
    <t>1378081A00000</t>
  </si>
  <si>
    <t>1378081PA0000</t>
  </si>
  <si>
    <t>1651061832B24</t>
  </si>
  <si>
    <t>1651061J00000</t>
  </si>
  <si>
    <t>1651084M00000</t>
  </si>
  <si>
    <t>1691054LA1000</t>
  </si>
  <si>
    <t>1752152E00000</t>
  </si>
  <si>
    <t>1752158M00000</t>
  </si>
  <si>
    <t>1752161A00000</t>
  </si>
  <si>
    <t>1752161MA0000</t>
  </si>
  <si>
    <t>1752164J00000</t>
  </si>
  <si>
    <t>1752173R00000</t>
  </si>
  <si>
    <t>1752177E20000</t>
  </si>
  <si>
    <t>1752178R00000</t>
  </si>
  <si>
    <t>1752183AA0000</t>
  </si>
  <si>
    <t>1752185300000</t>
  </si>
  <si>
    <t>1753077E00000</t>
  </si>
  <si>
    <t>1754054L00000</t>
  </si>
  <si>
    <t>1758254D00000</t>
  </si>
  <si>
    <t>1758354D00000</t>
  </si>
  <si>
    <t>1767063J00000</t>
  </si>
  <si>
    <t>1767065D00000</t>
  </si>
  <si>
    <t>1792075F00000</t>
  </si>
  <si>
    <t>1811861J00000</t>
  </si>
  <si>
    <t>1813068M03OTS</t>
  </si>
  <si>
    <t>2200066811000</t>
  </si>
  <si>
    <t>2200078810000</t>
  </si>
  <si>
    <t>2200081812000</t>
  </si>
  <si>
    <t>2210064G00000</t>
  </si>
  <si>
    <t>2326565G00000</t>
  </si>
  <si>
    <t>2371060K20000</t>
  </si>
  <si>
    <t>2381073R00000</t>
  </si>
  <si>
    <t>2743157LA0000</t>
  </si>
  <si>
    <t>2743254LA0000</t>
  </si>
  <si>
    <t>2810478820RX0</t>
  </si>
  <si>
    <t>2810478830RX0</t>
  </si>
  <si>
    <t>2813967J00000</t>
  </si>
  <si>
    <t>3560373R10000</t>
  </si>
  <si>
    <t>36750778D0RX0</t>
  </si>
  <si>
    <t>3714555JA1000</t>
  </si>
  <si>
    <t>3768065J00000</t>
  </si>
  <si>
    <t>3841066113000</t>
  </si>
  <si>
    <t>3849660G00000</t>
  </si>
  <si>
    <t>4121165J00000</t>
  </si>
  <si>
    <t>4131160K00000</t>
  </si>
  <si>
    <t>4131165J01000</t>
  </si>
  <si>
    <t>4134165J00000</t>
  </si>
  <si>
    <t>4181078K00000</t>
  </si>
  <si>
    <t>4193071810RX0</t>
  </si>
  <si>
    <t>4193165J00000</t>
  </si>
  <si>
    <t>4193265J00000</t>
  </si>
  <si>
    <t>4211165J00000</t>
  </si>
  <si>
    <t>4241277R00000</t>
  </si>
  <si>
    <t>4241282CA0000</t>
  </si>
  <si>
    <t>4916064J01RX0</t>
  </si>
  <si>
    <t>4916064J02000</t>
  </si>
  <si>
    <t>4916065D40000</t>
  </si>
  <si>
    <t>4916070AA0000</t>
  </si>
  <si>
    <t>4916077E01RX0</t>
  </si>
  <si>
    <t>4918150J40000</t>
  </si>
  <si>
    <t>4918164J00000</t>
  </si>
  <si>
    <t>5320061J00000</t>
  </si>
  <si>
    <t>53200M74L0000</t>
  </si>
  <si>
    <t>5460077K00000</t>
  </si>
  <si>
    <t>5520065J25000</t>
  </si>
  <si>
    <t>5520065J26000</t>
  </si>
  <si>
    <t>5520650J00000</t>
  </si>
  <si>
    <t>5521176J02000</t>
  </si>
  <si>
    <t>5531161J01000</t>
  </si>
  <si>
    <t>5547577K00000</t>
  </si>
  <si>
    <t>5580061M11000</t>
  </si>
  <si>
    <t>5580077K05000</t>
  </si>
  <si>
    <t>5581058M00000</t>
  </si>
  <si>
    <t>5581078R01000</t>
  </si>
  <si>
    <t>5581081P01000</t>
  </si>
  <si>
    <t>5584061J00000</t>
  </si>
  <si>
    <t>5584065J01000</t>
  </si>
  <si>
    <t>5585061J00000</t>
  </si>
  <si>
    <t>5645182K01000</t>
  </si>
  <si>
    <t>7175186R000PG</t>
  </si>
  <si>
    <t>7214160K000CB</t>
  </si>
  <si>
    <t>7238065J00000</t>
  </si>
  <si>
    <t>7248357M00000</t>
  </si>
  <si>
    <t>7719176F00000</t>
  </si>
  <si>
    <t>8283052R03RX0</t>
  </si>
  <si>
    <t>8284052R03RX0</t>
  </si>
  <si>
    <t>8471865J00Z2S</t>
  </si>
  <si>
    <t>8924171L01RX0</t>
  </si>
  <si>
    <t>916814015-M14</t>
  </si>
  <si>
    <t>9514150F01000</t>
  </si>
  <si>
    <t>9514160G90000</t>
  </si>
  <si>
    <t>9514161J00000</t>
  </si>
  <si>
    <t>9514161J10000</t>
  </si>
  <si>
    <t>9514161M00000</t>
  </si>
  <si>
    <t>9514164J00000</t>
  </si>
  <si>
    <t>9514173R00000</t>
  </si>
  <si>
    <t>9514177M00000</t>
  </si>
  <si>
    <t>9514177R10000</t>
  </si>
  <si>
    <t>9514179M00000</t>
  </si>
  <si>
    <t>9514179P10000</t>
  </si>
  <si>
    <t>9586059S00000</t>
  </si>
  <si>
    <t>9586061M00000</t>
  </si>
  <si>
    <t>9586063J10000</t>
  </si>
  <si>
    <t>9586080J00000</t>
  </si>
  <si>
    <t>9586164J10000</t>
  </si>
  <si>
    <t>9586171L10000</t>
  </si>
  <si>
    <t>9586181P00000</t>
  </si>
  <si>
    <t>KITSEGSUZALTO</t>
  </si>
  <si>
    <t>KITSEGSUZGRNO</t>
  </si>
  <si>
    <t>1025011XEN01</t>
  </si>
  <si>
    <t>ALARBASIC110</t>
  </si>
  <si>
    <t>BS102200900A</t>
  </si>
  <si>
    <t>KITSEGALSVIN</t>
  </si>
  <si>
    <t>KITSEGCX9MDN</t>
  </si>
  <si>
    <t>KITSEGHUNTER</t>
  </si>
  <si>
    <t>KITSEGNWCS35</t>
  </si>
  <si>
    <t>KITSEGNWM3SD</t>
  </si>
  <si>
    <t>LUBCOOLANT03</t>
  </si>
  <si>
    <t>LUBULT10PECC</t>
  </si>
  <si>
    <t>MANUCHANCS35</t>
  </si>
  <si>
    <t>1010320FE010</t>
  </si>
  <si>
    <t>1042200FE010</t>
  </si>
  <si>
    <t>1105013LD30J</t>
  </si>
  <si>
    <t>1105030LE37G</t>
  </si>
  <si>
    <t>1105030LG016</t>
  </si>
  <si>
    <t>1109130B5051</t>
  </si>
  <si>
    <t>1600100LD300</t>
  </si>
  <si>
    <t>1600200LD300</t>
  </si>
  <si>
    <t>6102135LE010</t>
  </si>
  <si>
    <t>S35010030-F3</t>
  </si>
  <si>
    <t>YF35FT-00113</t>
  </si>
  <si>
    <t>1D0143980AOTS</t>
  </si>
  <si>
    <t>1D0343980AOTS</t>
  </si>
  <si>
    <t>DA6A44010AOTS</t>
  </si>
  <si>
    <t>DA6B44010AOTS</t>
  </si>
  <si>
    <t>DAY067Y6YCOTS</t>
  </si>
  <si>
    <t>KITSEGNWBT50P</t>
  </si>
  <si>
    <t>TA0A626H0EOTS</t>
  </si>
  <si>
    <t>00890 321 185</t>
  </si>
  <si>
    <t>472104244ROTS</t>
  </si>
  <si>
    <t>497213913ROTS</t>
  </si>
  <si>
    <t>497218897ROTS</t>
  </si>
  <si>
    <t>497251364ROTS</t>
  </si>
  <si>
    <t>497252681ROTS</t>
  </si>
  <si>
    <t>497509934ROTS</t>
  </si>
  <si>
    <t>7701049351OTS</t>
  </si>
  <si>
    <t>8200420641OTS</t>
  </si>
  <si>
    <t>985708615ROTS</t>
  </si>
  <si>
    <t>AG00001356K01</t>
  </si>
  <si>
    <t>KITSEGSTEPWAY</t>
  </si>
  <si>
    <t>1109101XGW01A</t>
  </si>
  <si>
    <t>1109101XS16XB</t>
  </si>
  <si>
    <t>1109103XKM01A</t>
  </si>
  <si>
    <t>1109104XGW02A</t>
  </si>
  <si>
    <t>1109110XKZ16A</t>
  </si>
  <si>
    <t>1109110XKZ1DA</t>
  </si>
  <si>
    <t>1109110XP64XA</t>
  </si>
  <si>
    <t>1109110XP6EXA</t>
  </si>
  <si>
    <t>1109110XSZ08A</t>
  </si>
  <si>
    <t>1119100XP45AA</t>
  </si>
  <si>
    <t>1119114XP64XA</t>
  </si>
  <si>
    <t>1123101APW01B</t>
  </si>
  <si>
    <t>1207101XED01B</t>
  </si>
  <si>
    <t>1601001XPW01A</t>
  </si>
  <si>
    <t>1601002XPW01A</t>
  </si>
  <si>
    <t>1608100XPW01A</t>
  </si>
  <si>
    <t>1703110XPW01A</t>
  </si>
  <si>
    <t>2201104XPW01A</t>
  </si>
  <si>
    <t>2201116D01C01</t>
  </si>
  <si>
    <t>2203100XPW01A</t>
  </si>
  <si>
    <t>2302700XKV73A</t>
  </si>
  <si>
    <t>2402180XKZ17A</t>
  </si>
  <si>
    <t>2802101XPW01C</t>
  </si>
  <si>
    <t>2803114XKN01A</t>
  </si>
  <si>
    <t>2803122XKN01A</t>
  </si>
  <si>
    <t>2807100XKN01A</t>
  </si>
  <si>
    <t>2807100XSZ23A</t>
  </si>
  <si>
    <t>2904101XPW01A</t>
  </si>
  <si>
    <t>2904102XPW01A</t>
  </si>
  <si>
    <t>2904103XPW01A</t>
  </si>
  <si>
    <t>2904104XPW01A</t>
  </si>
  <si>
    <t>2905102XPW01A</t>
  </si>
  <si>
    <t>2905124XPW01A</t>
  </si>
  <si>
    <t>2905125XPW01A</t>
  </si>
  <si>
    <t>2906012AK00XA</t>
  </si>
  <si>
    <t>2906101XPW01A</t>
  </si>
  <si>
    <t>2906112XKZ16B</t>
  </si>
  <si>
    <t>2906300AK00B1</t>
  </si>
  <si>
    <t>2915101XPW01A</t>
  </si>
  <si>
    <t>2915110XSZ08A</t>
  </si>
  <si>
    <t>2916012AK00XA</t>
  </si>
  <si>
    <t>2916100AK00B1</t>
  </si>
  <si>
    <t>3103101XP55AC</t>
  </si>
  <si>
    <t>3401101XPW01A</t>
  </si>
  <si>
    <t>3407011A63DXA</t>
  </si>
  <si>
    <t>3501100XPW01A</t>
  </si>
  <si>
    <t>3501101XPW01A</t>
  </si>
  <si>
    <t>3501104XPW01A</t>
  </si>
  <si>
    <t>3501115AKZ16B</t>
  </si>
  <si>
    <t>3501119XKM01A</t>
  </si>
  <si>
    <t>3501119XPW01A</t>
  </si>
  <si>
    <t>3501150XK00XB</t>
  </si>
  <si>
    <t>3501171XGW01A</t>
  </si>
  <si>
    <t>3501201XP55AB</t>
  </si>
  <si>
    <t>3501306XGW01A</t>
  </si>
  <si>
    <t>3502011XP55AA</t>
  </si>
  <si>
    <t>3502100XPW01A</t>
  </si>
  <si>
    <t>3502101XPW01A</t>
  </si>
  <si>
    <t>3502102XPW01A</t>
  </si>
  <si>
    <t>3502104BGW01A</t>
  </si>
  <si>
    <t>3502105XGW01A</t>
  </si>
  <si>
    <t>3502109BGW01A</t>
  </si>
  <si>
    <t>3502110XKZ1DA</t>
  </si>
  <si>
    <t>3502126XGW02A</t>
  </si>
  <si>
    <t>3502139XPW01A</t>
  </si>
  <si>
    <t>3502140XKM01A</t>
  </si>
  <si>
    <t>3502140XPW01A</t>
  </si>
  <si>
    <t>3502315AKZ16A</t>
  </si>
  <si>
    <t>3502700XKZ16A</t>
  </si>
  <si>
    <t>3502800XKZ16A</t>
  </si>
  <si>
    <t>3506108XPW01A</t>
  </si>
  <si>
    <t>3506109XPW01A</t>
  </si>
  <si>
    <t>3550140XK18XA</t>
  </si>
  <si>
    <t>3603101XPW01A</t>
  </si>
  <si>
    <t>3641101AKN01A</t>
  </si>
  <si>
    <t>3641101XKN01A</t>
  </si>
  <si>
    <t>3658200XKZ16A</t>
  </si>
  <si>
    <t>3701011AED01A</t>
  </si>
  <si>
    <t>3701200AED01A</t>
  </si>
  <si>
    <t>3701400AED01A</t>
  </si>
  <si>
    <t>3701500AED01A</t>
  </si>
  <si>
    <t>3707100XEG01B</t>
  </si>
  <si>
    <t>3781100XSZ08A</t>
  </si>
  <si>
    <t>3787230XK00XB</t>
  </si>
  <si>
    <t>3787240XK00XB</t>
  </si>
  <si>
    <t>3921101XKN01A</t>
  </si>
  <si>
    <t>4121101XPW01A</t>
  </si>
  <si>
    <t>4133101XPW01A</t>
  </si>
  <si>
    <t>5206102XPW01A</t>
  </si>
  <si>
    <t>5206102XPW01B</t>
  </si>
  <si>
    <t>5509121XKN01A</t>
  </si>
  <si>
    <t>5514101XPW03A</t>
  </si>
  <si>
    <t>6101700XKN01A</t>
  </si>
  <si>
    <t>8103081XB00XA</t>
  </si>
  <si>
    <t>8104300XKR02A</t>
  </si>
  <si>
    <t>8104400ASZ08A</t>
  </si>
  <si>
    <t>8104400BK00XA</t>
  </si>
  <si>
    <t>8104400CJ08XA</t>
  </si>
  <si>
    <t>8104400XKY28B</t>
  </si>
  <si>
    <t>8104400XKZ16A</t>
  </si>
  <si>
    <t>8104400XKZ96A</t>
  </si>
  <si>
    <t>8104510AS56XA</t>
  </si>
  <si>
    <t>8505300XPW01A</t>
  </si>
  <si>
    <t>KITSEGWINGLE7</t>
  </si>
  <si>
    <t>PROTTOLVAPOER</t>
  </si>
  <si>
    <t>ZM001M1702010</t>
  </si>
  <si>
    <t>KITSEGJUMPER</t>
  </si>
  <si>
    <t>G1010170104A1</t>
  </si>
  <si>
    <t>G1010270100B1</t>
  </si>
  <si>
    <t>G2010740700A1</t>
  </si>
  <si>
    <t>H15T0120200AK</t>
  </si>
  <si>
    <t>R1010572202AC</t>
  </si>
  <si>
    <t>S1010630404AA</t>
  </si>
  <si>
    <t>S1010630406AA</t>
  </si>
  <si>
    <t>S1011240701BB</t>
  </si>
  <si>
    <t>TANQTOR15GLBI</t>
  </si>
  <si>
    <t>WBB3110980810</t>
  </si>
  <si>
    <t>1026080GH030A</t>
  </si>
  <si>
    <t>1109170LG010L</t>
  </si>
  <si>
    <t>12442-0520F71</t>
  </si>
  <si>
    <t>1303010P3060Z</t>
  </si>
  <si>
    <t>1600100P306AZ</t>
  </si>
  <si>
    <t>3504020P3031N</t>
  </si>
  <si>
    <t>3504050P3031N</t>
  </si>
  <si>
    <t>3504300P3031N</t>
  </si>
  <si>
    <t>3774200U1532A</t>
  </si>
  <si>
    <t>5205060P3010K</t>
  </si>
  <si>
    <t>5205070P3010K</t>
  </si>
  <si>
    <t>8104102P306AA</t>
  </si>
  <si>
    <t>916814015-M18</t>
  </si>
  <si>
    <t>E092-C120-B03</t>
  </si>
  <si>
    <t>KITSEGGRANDS3</t>
  </si>
  <si>
    <t>09409M07356000</t>
  </si>
  <si>
    <t>09482M00609000</t>
  </si>
  <si>
    <t>09482M00636000</t>
  </si>
  <si>
    <t>11198M79F00000</t>
  </si>
  <si>
    <t>12911M84420000</t>
  </si>
  <si>
    <t>12915M84420000</t>
  </si>
  <si>
    <t>13780M53T50000</t>
  </si>
  <si>
    <t>13780M62S00000</t>
  </si>
  <si>
    <t>13780M67L00000</t>
  </si>
  <si>
    <t>13780M68P01000</t>
  </si>
  <si>
    <t>13780M74L00000</t>
  </si>
  <si>
    <t>13780M76SA0000</t>
  </si>
  <si>
    <t>13780M81R10000</t>
  </si>
  <si>
    <t>13870M53M00000</t>
  </si>
  <si>
    <t>13870M53M30000</t>
  </si>
  <si>
    <t>15410M53M00000</t>
  </si>
  <si>
    <t>15410M60M00000</t>
  </si>
  <si>
    <t>15410M79F01000</t>
  </si>
  <si>
    <t>15410M79M00000</t>
  </si>
  <si>
    <t>16510M65L10000</t>
  </si>
  <si>
    <t>16510M68K00000</t>
  </si>
  <si>
    <t>17521M68K50000</t>
  </si>
  <si>
    <t>17521M68P00000</t>
  </si>
  <si>
    <t>17521M79G20000</t>
  </si>
  <si>
    <t>17670M83F00000</t>
  </si>
  <si>
    <t>17698M53M00000</t>
  </si>
  <si>
    <t>17920M75F00000</t>
  </si>
  <si>
    <t>22100M80T00000</t>
  </si>
  <si>
    <t>22400M80T00000</t>
  </si>
  <si>
    <t>35802M76T01000</t>
  </si>
  <si>
    <t>37019M53M91000</t>
  </si>
  <si>
    <t>43440M68K00000</t>
  </si>
  <si>
    <t>43511M68P70000</t>
  </si>
  <si>
    <t>46860M68K10000</t>
  </si>
  <si>
    <t>48810M62S00OTS</t>
  </si>
  <si>
    <t>53200M54T00000</t>
  </si>
  <si>
    <t>53200M68K10000</t>
  </si>
  <si>
    <t>53200M73T00000</t>
  </si>
  <si>
    <t>53200M79F00000</t>
  </si>
  <si>
    <t>55211M80T00000</t>
  </si>
  <si>
    <t>55311M60M00000</t>
  </si>
  <si>
    <t>55311M69P20000</t>
  </si>
  <si>
    <t>55810M60M00000</t>
  </si>
  <si>
    <t>55810M62S10000</t>
  </si>
  <si>
    <t>55810M75J30000</t>
  </si>
  <si>
    <t>55810M80T00000</t>
  </si>
  <si>
    <t>55910M68P00000</t>
  </si>
  <si>
    <t>58270M62S10000</t>
  </si>
  <si>
    <t>71742M53M000CB</t>
  </si>
  <si>
    <t>71771M55T00000</t>
  </si>
  <si>
    <t>72371M56R105PK</t>
  </si>
  <si>
    <t>72380M67P005PK</t>
  </si>
  <si>
    <t>72811M81R00000</t>
  </si>
  <si>
    <t>95141M55R30000</t>
  </si>
  <si>
    <t>95141M60M00000</t>
  </si>
  <si>
    <t>95141M62S00000</t>
  </si>
  <si>
    <t>95141M65L00000</t>
  </si>
  <si>
    <t>95141M68P00000</t>
  </si>
  <si>
    <t>95850M55R00000</t>
  </si>
  <si>
    <t>95850M68P00000</t>
  </si>
  <si>
    <t>95850M79M00000</t>
  </si>
  <si>
    <t>95861M74L00000</t>
  </si>
  <si>
    <t>99000M24120781</t>
  </si>
  <si>
    <t>99000M24121036</t>
  </si>
  <si>
    <t>99000M24121041</t>
  </si>
  <si>
    <t>99000M24121044</t>
  </si>
  <si>
    <t>00720 118 101</t>
  </si>
  <si>
    <t>00720 118 104</t>
  </si>
  <si>
    <t>00890 321 186</t>
  </si>
  <si>
    <t>00892 075 002</t>
  </si>
  <si>
    <t>00893 100 300</t>
  </si>
  <si>
    <t>10893 114 114</t>
  </si>
  <si>
    <t>30720 718 011</t>
  </si>
  <si>
    <t>AG00000Q85EFB</t>
  </si>
  <si>
    <t>AG00001346K01</t>
  </si>
  <si>
    <t>AG00001349K01</t>
  </si>
  <si>
    <t>AG00001351K01</t>
  </si>
  <si>
    <t>AG00001352K01</t>
  </si>
  <si>
    <t>AG00001353K01</t>
  </si>
  <si>
    <t>AG00001359K01</t>
  </si>
  <si>
    <t>AG00001360K01</t>
  </si>
  <si>
    <t>AG00001361K01</t>
  </si>
  <si>
    <t>AG00001363K01</t>
  </si>
  <si>
    <t>AG00001379K00</t>
  </si>
  <si>
    <t>AG00001379K01</t>
  </si>
  <si>
    <t>AG00001945000</t>
  </si>
  <si>
    <t>ALARMASGF2657</t>
  </si>
  <si>
    <t>FOCOS1-24V001</t>
  </si>
  <si>
    <t>FOCOSSALON001</t>
  </si>
  <si>
    <t>KITSEGDZIRESD</t>
  </si>
  <si>
    <t>KITSEGSUZJIMN</t>
  </si>
  <si>
    <t>N1KITSEGNCS15</t>
  </si>
  <si>
    <t>TANQTOR12GLBI</t>
  </si>
  <si>
    <t>1109100E898-2</t>
  </si>
  <si>
    <t>13780M65L00000</t>
  </si>
  <si>
    <t>FOCOLAGRIAMBAR</t>
  </si>
  <si>
    <t>N1KITSEGBT50CH</t>
  </si>
  <si>
    <t>1111402XED96CL</t>
  </si>
  <si>
    <t>SEGLLANWINGLE5</t>
  </si>
  <si>
    <t>ZM015B11601307</t>
  </si>
  <si>
    <t>1109110XKU00A</t>
  </si>
  <si>
    <t>1701030ACM51A</t>
  </si>
  <si>
    <t>1701040ACM51A</t>
  </si>
  <si>
    <t>3501110XKU0PA</t>
  </si>
  <si>
    <t>3502110XKU0PA</t>
  </si>
  <si>
    <t>3502110XSZ08A</t>
  </si>
  <si>
    <t>8107400XKU00A</t>
  </si>
  <si>
    <t>88201701001RL</t>
  </si>
  <si>
    <t>88201701002RL</t>
  </si>
  <si>
    <t>KITSEGHAVALH7</t>
  </si>
  <si>
    <t>16719700ZDOTS</t>
  </si>
  <si>
    <t>9683913280OTS</t>
  </si>
  <si>
    <t>KITSEGNEWSUVAN</t>
  </si>
  <si>
    <t>PC2010194202A1</t>
  </si>
  <si>
    <t>PC2010194203A1</t>
  </si>
  <si>
    <t>PC2010500301A3</t>
  </si>
  <si>
    <t>PC2010600101A1</t>
  </si>
  <si>
    <t>PC2010600201A1</t>
  </si>
  <si>
    <t>PC2010651401A1</t>
  </si>
  <si>
    <t>R10301600010CP</t>
  </si>
  <si>
    <t>1002050FD020-C</t>
  </si>
  <si>
    <t>1004021FB040-2</t>
  </si>
  <si>
    <t>1004030FB040ZJ</t>
  </si>
  <si>
    <t>1017110GH20001</t>
  </si>
  <si>
    <t>1025014GG010XZ</t>
  </si>
  <si>
    <t>1025300FD02003</t>
  </si>
  <si>
    <t>1105020D8253XZ</t>
  </si>
  <si>
    <t>2803200P306AXZ</t>
  </si>
  <si>
    <t>3103102-R002LJ</t>
  </si>
  <si>
    <t>3406700V6500XZ</t>
  </si>
  <si>
    <t>C2301-00100055</t>
  </si>
  <si>
    <t>C2302-00100052</t>
  </si>
  <si>
    <t>KITSEGNEWERTIGA</t>
  </si>
  <si>
    <t>KITSEGSUZBALENO</t>
  </si>
  <si>
    <t>KITSEGSUZCELNEW</t>
  </si>
  <si>
    <t>KITSEGCS35PLUS</t>
  </si>
  <si>
    <t>KITSEGCS55PLUS</t>
  </si>
  <si>
    <t>KITSEGGWWINGLE</t>
  </si>
  <si>
    <t>KITSEGNWBT50CH</t>
  </si>
  <si>
    <t>KITSEGNWDUSTER</t>
  </si>
  <si>
    <t>KITSEGNWREFINE</t>
  </si>
  <si>
    <t>N1KITSEGPOERMC</t>
  </si>
  <si>
    <t>D5H00-1105140A</t>
  </si>
  <si>
    <t>YF35A104-01075</t>
  </si>
  <si>
    <t>KITSEGNEWMAZDA2</t>
  </si>
  <si>
    <t>KITSEGNEWMAZDA3</t>
  </si>
  <si>
    <t>2360001540CPOTS</t>
  </si>
  <si>
    <t>1001011XED70OTS</t>
  </si>
  <si>
    <t>1001012XED70OTS</t>
  </si>
  <si>
    <t>1001014XED70OTS</t>
  </si>
  <si>
    <t>1005023XED96OTS</t>
  </si>
  <si>
    <t>DPKITFILTROPOER</t>
  </si>
  <si>
    <t>PURIFICADORPOER</t>
  </si>
  <si>
    <t>ZM015A216010201</t>
  </si>
  <si>
    <t>ZM6T82BF1701513</t>
  </si>
  <si>
    <t>KITSECITJUMPER</t>
  </si>
  <si>
    <t>KITSEGAIRCROSS</t>
  </si>
  <si>
    <t>B511F2105010200</t>
  </si>
  <si>
    <t>B511F2801031800</t>
  </si>
  <si>
    <t>F202F2603011202</t>
  </si>
  <si>
    <t>F202F2603011801</t>
  </si>
  <si>
    <t>F202F2801013100</t>
  </si>
  <si>
    <t>S111F2101020100</t>
  </si>
  <si>
    <t>S111F2105010600</t>
  </si>
  <si>
    <t>S111F2602060800</t>
  </si>
  <si>
    <t>S111F2603010600</t>
  </si>
  <si>
    <t>S111F2603011000</t>
  </si>
  <si>
    <t>S111F2603030901</t>
  </si>
  <si>
    <t>S111F2603031601</t>
  </si>
  <si>
    <t>S111F2801031703</t>
  </si>
  <si>
    <t>S202F2105010200</t>
  </si>
  <si>
    <t>S202F2603010800</t>
  </si>
  <si>
    <t>S202F2603011400</t>
  </si>
  <si>
    <t>S202F2603030700</t>
  </si>
  <si>
    <t>S202F2603031200</t>
  </si>
  <si>
    <t>S203F2603010800</t>
  </si>
  <si>
    <t>S203F2603011300</t>
  </si>
  <si>
    <t>S203F2709020202</t>
  </si>
  <si>
    <t>S203F2807050100</t>
  </si>
  <si>
    <t>S302F2801032601</t>
  </si>
  <si>
    <t>S311F2602060501</t>
  </si>
  <si>
    <t>1008020GG010OTS</t>
  </si>
  <si>
    <t>1026110FA040-BJ</t>
  </si>
  <si>
    <t>3402100U1930OTS</t>
  </si>
  <si>
    <t>3402500U1930OTS</t>
  </si>
  <si>
    <t>3569100U1510-01</t>
  </si>
  <si>
    <t>5811200U3400OTS</t>
  </si>
  <si>
    <t>HC-6450-3502022</t>
  </si>
  <si>
    <t>HYF3502P442-030</t>
  </si>
  <si>
    <t>R-1701240-00-02</t>
  </si>
  <si>
    <t>ZMTC18A-1803010</t>
  </si>
  <si>
    <t>13780M79F00000-C</t>
  </si>
  <si>
    <t>KITSEGSUZSPRESSO</t>
  </si>
  <si>
    <t>KITSEGSWIFTSEDAN</t>
  </si>
  <si>
    <t>FOCOLAGRIMON001</t>
  </si>
  <si>
    <t>KITSEGNEWSCROSS</t>
  </si>
  <si>
    <t>N1KITSEGPOERAMT</t>
  </si>
  <si>
    <t>PATINPROTECPOER</t>
  </si>
  <si>
    <t>B-1701291-40-00</t>
  </si>
  <si>
    <t>M-1604854-30-00</t>
  </si>
  <si>
    <t>YF3501A104-030L</t>
  </si>
  <si>
    <t>8202103XKU24AOTS</t>
  </si>
  <si>
    <t>6804105XP2WXAOTS</t>
  </si>
  <si>
    <t>7000101XGW02AOTS</t>
  </si>
  <si>
    <t>PROTTOLVAWINGLE5</t>
  </si>
  <si>
    <t>PROTTOLVAWINGLE7</t>
  </si>
  <si>
    <t>1014010XEC01OTS</t>
  </si>
  <si>
    <t>KITSEGCITROENC5</t>
  </si>
  <si>
    <t>8202104XKU24AOTS</t>
  </si>
  <si>
    <t>CD569F2105010300</t>
  </si>
  <si>
    <t>CD569F2603010700</t>
  </si>
  <si>
    <t>CD569F2603011200</t>
  </si>
  <si>
    <t>CD569F2603011700</t>
  </si>
  <si>
    <t>CD569F2603030700</t>
  </si>
  <si>
    <t>CD569F2801032700</t>
  </si>
  <si>
    <t>KITSEGCHANGANGVT</t>
  </si>
  <si>
    <t>KITSEGNEWJIMNY5P</t>
  </si>
  <si>
    <t>3500310U2230-F01</t>
  </si>
  <si>
    <t>3500700U2230-F01</t>
  </si>
  <si>
    <t>3501100/200P3010</t>
  </si>
  <si>
    <t>3504300P3031N0CP</t>
  </si>
  <si>
    <t>5522320U2400-R03</t>
  </si>
  <si>
    <t>7911701U344WAOTS</t>
  </si>
  <si>
    <t>S1021L2115300010</t>
  </si>
  <si>
    <t>15410M79F100000-C</t>
  </si>
  <si>
    <t>KITSEGSUZNWERTIGA</t>
  </si>
  <si>
    <t>KITSEGJOLION-HYB</t>
  </si>
  <si>
    <t>KITSEGNWCS35PLUS</t>
  </si>
  <si>
    <t>KITSEGSUZNWCELGA</t>
  </si>
  <si>
    <t>KITSEGSUZNWJIMNY</t>
  </si>
  <si>
    <t>KITSEGNEWMAZDA2HB</t>
  </si>
  <si>
    <t>KITSEGNEWMAZDA3HB</t>
  </si>
  <si>
    <t>PURIFICADORWINGLE</t>
  </si>
  <si>
    <t>KITSECITBERLINGO</t>
  </si>
  <si>
    <t>KITSEGC3AIRCROSS</t>
  </si>
  <si>
    <t>B511F2601020300AA</t>
  </si>
  <si>
    <t>DPKITFILTROHUNTER</t>
  </si>
  <si>
    <t>S111F2807020300AA</t>
  </si>
  <si>
    <t>S203F2807050100AA</t>
  </si>
  <si>
    <t>2200001R0070-F021</t>
  </si>
  <si>
    <t>3500310U3400-F011</t>
  </si>
  <si>
    <t>3500700U3400-F031</t>
  </si>
  <si>
    <t>3503100S5500-F031</t>
  </si>
  <si>
    <t>3503100V6500-F011</t>
  </si>
  <si>
    <t>3503100V6510-F011</t>
  </si>
  <si>
    <t>3504100S5500-F031</t>
  </si>
  <si>
    <t>3504100V6510-F011</t>
  </si>
  <si>
    <t>3704020U2260-F001</t>
  </si>
  <si>
    <t>3704020V9020-F012</t>
  </si>
  <si>
    <t>8101100U2400-F011</t>
  </si>
  <si>
    <t>8126100R0090-F051</t>
  </si>
  <si>
    <t>8126100U1910-F011</t>
  </si>
  <si>
    <t>S1005L21153-00004</t>
  </si>
  <si>
    <t>ZMTC18A1803020CAN</t>
  </si>
  <si>
    <t>AGPML15W50CI4208L</t>
  </si>
  <si>
    <t>S2010400100CN01OTS</t>
  </si>
  <si>
    <t>YF3501N23203013023</t>
  </si>
  <si>
    <t>AGPLUBML15W40CI4CC</t>
  </si>
  <si>
    <t>AGPLUBML15W40CI4CL</t>
  </si>
  <si>
    <t>KITSEGSUZNWCELERIO</t>
  </si>
  <si>
    <t>KITSEGSUZSPRESSOGL</t>
  </si>
  <si>
    <t>L1300061102B1-3420</t>
  </si>
  <si>
    <t>KITSEGCITROENNEWC3</t>
  </si>
  <si>
    <t>SILICO250TERMORESIST</t>
  </si>
  <si>
    <t>11400ED01 49.0.450.906.</t>
  </si>
  <si>
    <t>1105110-E06/49.1.457.43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</si>
</sst>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F5F9BC-EB9C-4AA8-80D0-1C6540F0DF5A}" name="Tabla2" displayName="Tabla2" ref="A1:M1666" totalsRowShown="0">
  <autoFilter ref="A1:M1666" xr:uid="{82F5F9BC-EB9C-4AA8-80D0-1C6540F0DF5A}"/>
  <tableColumns count="13">
    <tableColumn id="1" xr3:uid="{24B81871-8B30-42E8-A81C-F3E72B30DCD8}" name="code"/>
    <tableColumn id="2" xr3:uid="{EF2C6044-9F50-46A0-9239-8182CEDDA2BF}" name="name"/>
    <tableColumn id="3" xr3:uid="{98587A8D-0155-4E4A-BF55-FA3FD4346046}" name="description"/>
    <tableColumn id="4" xr3:uid="{10890ABC-0A0E-45B5-B6E6-F752057F8FAA}" name="product_category_id" dataDxfId="4"/>
    <tableColumn id="5" xr3:uid="{A543A9F3-5829-4ACC-A158-5ABF8D9DFC07}" name="brand_id"/>
    <tableColumn id="6" xr3:uid="{C1D335B4-6E4E-4F3E-8EA9-EDFC8D536366}" name="unit_measurement_id"/>
    <tableColumn id="7" xr3:uid="{772303EB-8DCA-4B6A-B06E-0FE99115A440}" name="ap_class_article_id"/>
    <tableColumn id="8" xr3:uid="{EE18840A-4D8A-4277-87E9-FEDDBF5E4152}" name="Grupo"/>
    <tableColumn id="9" xr3:uid="{F1962112-162A-4152-86E8-FC223ABBEA8A}" name="id_category" dataDxfId="3">
      <calculatedColumnFormula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calculatedColumnFormula>
    </tableColumn>
    <tableColumn id="10" xr3:uid="{338BB1CF-4489-4BE1-9AB5-E71C5FE3AEC8}" name="codigo_producto"/>
    <tableColumn id="11" xr3:uid="{7D85F6BE-4837-47D5-9630-DBCC1EDA49EA}" name="cod_formateado" dataDxfId="2">
      <calculatedColumnFormula>RIGHT(Tabla2[[#This Row],[codigo_producto]],LEN(Tabla2[[#This Row],[codigo_producto]])-FIND("/",Tabla2[[#This Row],[codigo_producto]]))</calculatedColumnFormula>
    </tableColumn>
    <tableColumn id="12" xr3:uid="{71225A32-4D4E-4D71-BFC1-A8BDAF9012C1}" name="cod_marca" dataDxfId="1">
      <calculatedColumnFormula>LEFT(Tabla2[[#This Row],[codigo_producto]],FIND("/",Tabla2[[#This Row],[codigo_producto]])-1)</calculatedColumnFormula>
    </tableColumn>
    <tableColumn id="13" xr3:uid="{3EB81514-30B2-48EF-91DF-B953376EB0BC}" name="id_marca" dataDxfId="0">
      <calculatedColumnFormula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calculatedColumnFormula>
    </tableColumn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666"/>
  <sheetViews>
    <sheetView tabSelected="1" workbookViewId="0">
      <selection activeCell="B1666" sqref="A1:B1666"/>
    </sheetView>
  </sheetViews>
  <sheetFormatPr baseColWidth="10" defaultColWidth="9.140625" defaultRowHeight="15" x14ac:dyDescent="0.25"/>
  <cols>
    <col min="1" max="1" width="24.7109375" bestFit="1" customWidth="1"/>
    <col min="2" max="3" width="31.28515625" bestFit="1" customWidth="1"/>
    <col min="4" max="4" width="21.28515625" customWidth="1"/>
    <col min="5" max="5" width="11" customWidth="1"/>
    <col min="6" max="6" width="22.85546875" customWidth="1"/>
    <col min="7" max="7" width="19.7109375" customWidth="1"/>
    <col min="9" max="9" width="13.5703125" bestFit="1" customWidth="1"/>
    <col min="10" max="10" width="24.7109375" bestFit="1" customWidth="1"/>
    <col min="11" max="11" width="17.85546875" bestFit="1" customWidth="1"/>
    <col min="13" max="13" width="11.28515625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2812</v>
      </c>
      <c r="I1" t="s">
        <v>2821</v>
      </c>
      <c r="J1" t="s">
        <v>2822</v>
      </c>
      <c r="K1" t="s">
        <v>2823</v>
      </c>
      <c r="L1" t="s">
        <v>2825</v>
      </c>
      <c r="M1" t="s">
        <v>2824</v>
      </c>
    </row>
    <row r="2" spans="1:13" x14ac:dyDescent="0.25">
      <c r="A2" t="s">
        <v>2813</v>
      </c>
      <c r="B2" t="s">
        <v>1672</v>
      </c>
      <c r="C2" t="s">
        <v>1672</v>
      </c>
      <c r="D2">
        <v>24</v>
      </c>
      <c r="E2">
        <v>13</v>
      </c>
      <c r="F2">
        <v>9</v>
      </c>
      <c r="G2">
        <v>12</v>
      </c>
      <c r="H2" t="s">
        <v>2813</v>
      </c>
      <c r="I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24</v>
      </c>
      <c r="J2" t="s">
        <v>7</v>
      </c>
      <c r="K2" t="str">
        <f>RIGHT(Tabla2[[#This Row],[codigo_producto]],LEN(Tabla2[[#This Row],[codigo_producto]])-FIND("/",Tabla2[[#This Row],[codigo_producto]]))</f>
        <v>BP</v>
      </c>
      <c r="L2" t="str">
        <f>LEFT(Tabla2[[#This Row],[codigo_producto]],FIND("/",Tabla2[[#This Row],[codigo_producto]])-1)</f>
        <v>10</v>
      </c>
      <c r="M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3" spans="1:13" x14ac:dyDescent="0.25">
      <c r="A3" t="s">
        <v>2826</v>
      </c>
      <c r="B3" t="s">
        <v>1673</v>
      </c>
      <c r="C3" t="s">
        <v>1673</v>
      </c>
      <c r="D3">
        <v>32</v>
      </c>
      <c r="E3">
        <v>1</v>
      </c>
      <c r="F3">
        <v>9</v>
      </c>
      <c r="G3">
        <v>12</v>
      </c>
      <c r="H3" t="s">
        <v>2814</v>
      </c>
      <c r="I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" t="s">
        <v>8</v>
      </c>
      <c r="K3" t="str">
        <f>RIGHT(Tabla2[[#This Row],[codigo_producto]],LEN(Tabla2[[#This Row],[codigo_producto]])-FIND("/",Tabla2[[#This Row],[codigo_producto]]))</f>
        <v>D213</v>
      </c>
      <c r="L3" s="1" t="str">
        <f>LEFT(Tabla2[[#This Row],[codigo_producto]],FIND("/",Tabla2[[#This Row],[codigo_producto]])-1)</f>
        <v>6</v>
      </c>
      <c r="M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4" spans="1:13" x14ac:dyDescent="0.25">
      <c r="A4" t="s">
        <v>2827</v>
      </c>
      <c r="B4" t="s">
        <v>1674</v>
      </c>
      <c r="C4" t="s">
        <v>1674</v>
      </c>
      <c r="D4">
        <v>32</v>
      </c>
      <c r="E4">
        <v>1</v>
      </c>
      <c r="F4">
        <v>9</v>
      </c>
      <c r="G4">
        <v>12</v>
      </c>
      <c r="H4" t="s">
        <v>2814</v>
      </c>
      <c r="I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" t="s">
        <v>9</v>
      </c>
      <c r="K4" t="str">
        <f>RIGHT(Tabla2[[#This Row],[codigo_producto]],LEN(Tabla2[[#This Row],[codigo_producto]])-FIND("/",Tabla2[[#This Row],[codigo_producto]]))</f>
        <v>G215</v>
      </c>
      <c r="L4" t="str">
        <f>LEFT(Tabla2[[#This Row],[codigo_producto]],FIND("/",Tabla2[[#This Row],[codigo_producto]])-1)</f>
        <v>6</v>
      </c>
      <c r="M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5" spans="1:13" x14ac:dyDescent="0.25">
      <c r="A5" t="s">
        <v>2828</v>
      </c>
      <c r="B5" t="s">
        <v>1675</v>
      </c>
      <c r="C5" t="s">
        <v>1675</v>
      </c>
      <c r="D5">
        <v>22</v>
      </c>
      <c r="E5">
        <v>13</v>
      </c>
      <c r="F5">
        <v>9</v>
      </c>
      <c r="G5">
        <v>12</v>
      </c>
      <c r="H5" t="s">
        <v>2815</v>
      </c>
      <c r="I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5" t="s">
        <v>10</v>
      </c>
      <c r="K5" t="str">
        <f>RIGHT(Tabla2[[#This Row],[codigo_producto]],LEN(Tabla2[[#This Row],[codigo_producto]])-FIND("/",Tabla2[[#This Row],[codigo_producto]]))</f>
        <v>10061</v>
      </c>
      <c r="L5" t="str">
        <f>LEFT(Tabla2[[#This Row],[codigo_producto]],FIND("/",Tabla2[[#This Row],[codigo_producto]])-1)</f>
        <v>10</v>
      </c>
      <c r="M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6" spans="1:13" x14ac:dyDescent="0.25">
      <c r="A6" t="s">
        <v>2829</v>
      </c>
      <c r="B6" t="s">
        <v>1676</v>
      </c>
      <c r="C6" t="s">
        <v>1676</v>
      </c>
      <c r="D6">
        <v>22</v>
      </c>
      <c r="E6">
        <v>13</v>
      </c>
      <c r="F6">
        <v>9</v>
      </c>
      <c r="G6">
        <v>12</v>
      </c>
      <c r="H6" t="s">
        <v>2815</v>
      </c>
      <c r="I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6" t="s">
        <v>11</v>
      </c>
      <c r="K6" t="str">
        <f>RIGHT(Tabla2[[#This Row],[codigo_producto]],LEN(Tabla2[[#This Row],[codigo_producto]])-FIND("/",Tabla2[[#This Row],[codigo_producto]]))</f>
        <v>10084</v>
      </c>
      <c r="L6" t="str">
        <f>LEFT(Tabla2[[#This Row],[codigo_producto]],FIND("/",Tabla2[[#This Row],[codigo_producto]])-1)</f>
        <v>10</v>
      </c>
      <c r="M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7" spans="1:13" x14ac:dyDescent="0.25">
      <c r="A7" t="s">
        <v>2830</v>
      </c>
      <c r="B7" t="s">
        <v>1677</v>
      </c>
      <c r="C7" t="s">
        <v>1677</v>
      </c>
      <c r="D7">
        <v>22</v>
      </c>
      <c r="E7">
        <v>13</v>
      </c>
      <c r="F7">
        <v>9</v>
      </c>
      <c r="G7">
        <v>12</v>
      </c>
      <c r="H7" t="s">
        <v>2815</v>
      </c>
      <c r="I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7" t="s">
        <v>12</v>
      </c>
      <c r="K7" s="1" t="str">
        <f>RIGHT(Tabla2[[#This Row],[codigo_producto]],LEN(Tabla2[[#This Row],[codigo_producto]])-FIND("/",Tabla2[[#This Row],[codigo_producto]]))</f>
        <v>21601</v>
      </c>
      <c r="L7" t="str">
        <f>LEFT(Tabla2[[#This Row],[codigo_producto]],FIND("/",Tabla2[[#This Row],[codigo_producto]])-1)</f>
        <v>10</v>
      </c>
      <c r="M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8" spans="1:13" x14ac:dyDescent="0.25">
      <c r="A8" t="s">
        <v>2831</v>
      </c>
      <c r="B8" t="s">
        <v>1678</v>
      </c>
      <c r="C8" t="s">
        <v>1678</v>
      </c>
      <c r="D8">
        <v>22</v>
      </c>
      <c r="E8">
        <v>13</v>
      </c>
      <c r="F8">
        <v>9</v>
      </c>
      <c r="G8">
        <v>12</v>
      </c>
      <c r="H8" t="s">
        <v>2815</v>
      </c>
      <c r="I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8" t="s">
        <v>13</v>
      </c>
      <c r="K8" t="str">
        <f>RIGHT(Tabla2[[#This Row],[codigo_producto]],LEN(Tabla2[[#This Row],[codigo_producto]])-FIND("/",Tabla2[[#This Row],[codigo_producto]]))</f>
        <v>30366</v>
      </c>
      <c r="L8" t="str">
        <f>LEFT(Tabla2[[#This Row],[codigo_producto]],FIND("/",Tabla2[[#This Row],[codigo_producto]])-1)</f>
        <v>10</v>
      </c>
      <c r="M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9" spans="1:13" x14ac:dyDescent="0.25">
      <c r="A9" t="s">
        <v>2832</v>
      </c>
      <c r="B9" t="s">
        <v>1679</v>
      </c>
      <c r="C9" t="s">
        <v>1679</v>
      </c>
      <c r="D9">
        <v>22</v>
      </c>
      <c r="E9">
        <v>13</v>
      </c>
      <c r="F9">
        <v>9</v>
      </c>
      <c r="G9">
        <v>12</v>
      </c>
      <c r="H9" t="s">
        <v>2815</v>
      </c>
      <c r="I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9" t="s">
        <v>14</v>
      </c>
      <c r="K9" t="str">
        <f>RIGHT(Tabla2[[#This Row],[codigo_producto]],LEN(Tabla2[[#This Row],[codigo_producto]])-FIND("/",Tabla2[[#This Row],[codigo_producto]]))</f>
        <v>40518</v>
      </c>
      <c r="L9" t="str">
        <f>LEFT(Tabla2[[#This Row],[codigo_producto]],FIND("/",Tabla2[[#This Row],[codigo_producto]])-1)</f>
        <v>10</v>
      </c>
      <c r="M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0" spans="1:13" x14ac:dyDescent="0.25">
      <c r="A10" t="s">
        <v>2833</v>
      </c>
      <c r="B10" t="s">
        <v>1680</v>
      </c>
      <c r="C10" t="s">
        <v>1680</v>
      </c>
      <c r="D10">
        <v>32</v>
      </c>
      <c r="E10">
        <v>7</v>
      </c>
      <c r="F10">
        <v>9</v>
      </c>
      <c r="G10">
        <v>12</v>
      </c>
      <c r="H10" t="s">
        <v>2814</v>
      </c>
      <c r="I1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" t="s">
        <v>15</v>
      </c>
      <c r="K10" t="str">
        <f>RIGHT(Tabla2[[#This Row],[codigo_producto]],LEN(Tabla2[[#This Row],[codigo_producto]])-FIND("/",Tabla2[[#This Row],[codigo_producto]]))</f>
        <v>194761</v>
      </c>
      <c r="L10" t="str">
        <f>LEFT(Tabla2[[#This Row],[codigo_producto]],FIND("/",Tabla2[[#This Row],[codigo_producto]])-1)</f>
        <v>3</v>
      </c>
      <c r="M1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11" spans="1:13" x14ac:dyDescent="0.25">
      <c r="A11" t="s">
        <v>2834</v>
      </c>
      <c r="B11" t="s">
        <v>1681</v>
      </c>
      <c r="C11" t="s">
        <v>1681</v>
      </c>
      <c r="D11">
        <v>32</v>
      </c>
      <c r="E11">
        <v>3</v>
      </c>
      <c r="F11">
        <v>9</v>
      </c>
      <c r="G11">
        <v>12</v>
      </c>
      <c r="H11" t="s">
        <v>2814</v>
      </c>
      <c r="I1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" t="s">
        <v>16</v>
      </c>
      <c r="K11" t="str">
        <f>RIGHT(Tabla2[[#This Row],[codigo_producto]],LEN(Tabla2[[#This Row],[codigo_producto]])-FIND("/",Tabla2[[#This Row],[codigo_producto]]))</f>
        <v>32008X</v>
      </c>
      <c r="L11" t="str">
        <f>LEFT(Tabla2[[#This Row],[codigo_producto]],FIND("/",Tabla2[[#This Row],[codigo_producto]])-1)</f>
        <v>5</v>
      </c>
      <c r="M1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" spans="1:13" x14ac:dyDescent="0.25">
      <c r="A12" t="s">
        <v>2835</v>
      </c>
      <c r="B12" t="s">
        <v>1682</v>
      </c>
      <c r="C12" t="s">
        <v>1682</v>
      </c>
      <c r="D12">
        <v>32</v>
      </c>
      <c r="E12">
        <v>10</v>
      </c>
      <c r="F12">
        <v>9</v>
      </c>
      <c r="G12">
        <v>12</v>
      </c>
      <c r="H12" t="s">
        <v>2814</v>
      </c>
      <c r="I1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" t="s">
        <v>17</v>
      </c>
      <c r="K12" t="str">
        <f>RIGHT(Tabla2[[#This Row],[codigo_producto]],LEN(Tabla2[[#This Row],[codigo_producto]])-FIND("/",Tabla2[[#This Row],[codigo_producto]]))</f>
        <v>910436</v>
      </c>
      <c r="L12" t="str">
        <f>LEFT(Tabla2[[#This Row],[codigo_producto]],FIND("/",Tabla2[[#This Row],[codigo_producto]])-1)</f>
        <v>8</v>
      </c>
      <c r="M1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10</v>
      </c>
    </row>
    <row r="13" spans="1:13" x14ac:dyDescent="0.25">
      <c r="A13" t="s">
        <v>2836</v>
      </c>
      <c r="B13" t="s">
        <v>1683</v>
      </c>
      <c r="C13" t="s">
        <v>1683</v>
      </c>
      <c r="D13">
        <v>32</v>
      </c>
      <c r="E13">
        <v>10</v>
      </c>
      <c r="F13">
        <v>9</v>
      </c>
      <c r="G13">
        <v>12</v>
      </c>
      <c r="H13" t="s">
        <v>2814</v>
      </c>
      <c r="I1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" t="s">
        <v>18</v>
      </c>
      <c r="K13" s="1" t="str">
        <f>RIGHT(Tabla2[[#This Row],[codigo_producto]],LEN(Tabla2[[#This Row],[codigo_producto]])-FIND("/",Tabla2[[#This Row],[codigo_producto]]))</f>
        <v>917111</v>
      </c>
      <c r="L13" t="str">
        <f>LEFT(Tabla2[[#This Row],[codigo_producto]],FIND("/",Tabla2[[#This Row],[codigo_producto]])-1)</f>
        <v>8</v>
      </c>
      <c r="M1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10</v>
      </c>
    </row>
    <row r="14" spans="1:13" x14ac:dyDescent="0.25">
      <c r="A14" t="s">
        <v>2837</v>
      </c>
      <c r="B14" t="s">
        <v>1684</v>
      </c>
      <c r="C14" t="s">
        <v>1684</v>
      </c>
      <c r="D14">
        <v>32</v>
      </c>
      <c r="E14">
        <v>10</v>
      </c>
      <c r="F14">
        <v>9</v>
      </c>
      <c r="G14">
        <v>12</v>
      </c>
      <c r="H14" t="s">
        <v>2814</v>
      </c>
      <c r="I1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" t="s">
        <v>19</v>
      </c>
      <c r="K14" t="str">
        <f>RIGHT(Tabla2[[#This Row],[codigo_producto]],LEN(Tabla2[[#This Row],[codigo_producto]])-FIND("/",Tabla2[[#This Row],[codigo_producto]]))</f>
        <v>917177</v>
      </c>
      <c r="L14" t="str">
        <f>LEFT(Tabla2[[#This Row],[codigo_producto]],FIND("/",Tabla2[[#This Row],[codigo_producto]])-1)</f>
        <v>8</v>
      </c>
      <c r="M1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10</v>
      </c>
    </row>
    <row r="15" spans="1:13" x14ac:dyDescent="0.25">
      <c r="A15" t="s">
        <v>2838</v>
      </c>
      <c r="B15" t="s">
        <v>1685</v>
      </c>
      <c r="C15" t="s">
        <v>1685</v>
      </c>
      <c r="D15">
        <v>32</v>
      </c>
      <c r="E15">
        <v>11</v>
      </c>
      <c r="F15">
        <v>9</v>
      </c>
      <c r="G15">
        <v>12</v>
      </c>
      <c r="H15" t="s">
        <v>2814</v>
      </c>
      <c r="I1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" t="s">
        <v>20</v>
      </c>
      <c r="K15" t="str">
        <f>RIGHT(Tabla2[[#This Row],[codigo_producto]],LEN(Tabla2[[#This Row],[codigo_producto]])-FIND("/",Tabla2[[#This Row],[codigo_producto]]))</f>
        <v>913191</v>
      </c>
      <c r="L15" t="str">
        <f>LEFT(Tabla2[[#This Row],[codigo_producto]],FIND("/",Tabla2[[#This Row],[codigo_producto]])-1)</f>
        <v>9</v>
      </c>
      <c r="M1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11</v>
      </c>
    </row>
    <row r="16" spans="1:13" x14ac:dyDescent="0.25">
      <c r="A16" t="s">
        <v>2839</v>
      </c>
      <c r="B16" t="s">
        <v>1686</v>
      </c>
      <c r="C16" t="s">
        <v>1686</v>
      </c>
      <c r="D16">
        <v>32</v>
      </c>
      <c r="E16">
        <v>11</v>
      </c>
      <c r="F16">
        <v>9</v>
      </c>
      <c r="G16">
        <v>12</v>
      </c>
      <c r="H16" t="s">
        <v>2814</v>
      </c>
      <c r="I1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" t="s">
        <v>21</v>
      </c>
      <c r="K16" t="str">
        <f>RIGHT(Tabla2[[#This Row],[codigo_producto]],LEN(Tabla2[[#This Row],[codigo_producto]])-FIND("/",Tabla2[[#This Row],[codigo_producto]]))</f>
        <v>913196</v>
      </c>
      <c r="L16" t="str">
        <f>LEFT(Tabla2[[#This Row],[codigo_producto]],FIND("/",Tabla2[[#This Row],[codigo_producto]])-1)</f>
        <v>9</v>
      </c>
      <c r="M1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11</v>
      </c>
    </row>
    <row r="17" spans="1:13" x14ac:dyDescent="0.25">
      <c r="A17" t="s">
        <v>2840</v>
      </c>
      <c r="B17" t="s">
        <v>1687</v>
      </c>
      <c r="C17" t="s">
        <v>1687</v>
      </c>
      <c r="D17">
        <v>32</v>
      </c>
      <c r="E17">
        <v>11</v>
      </c>
      <c r="F17">
        <v>9</v>
      </c>
      <c r="G17">
        <v>12</v>
      </c>
      <c r="H17" t="s">
        <v>2814</v>
      </c>
      <c r="I1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7" t="s">
        <v>22</v>
      </c>
      <c r="K17" t="str">
        <f>RIGHT(Tabla2[[#This Row],[codigo_producto]],LEN(Tabla2[[#This Row],[codigo_producto]])-FIND("/",Tabla2[[#This Row],[codigo_producto]]))</f>
        <v>916600</v>
      </c>
      <c r="L17" t="str">
        <f>LEFT(Tabla2[[#This Row],[codigo_producto]],FIND("/",Tabla2[[#This Row],[codigo_producto]])-1)</f>
        <v>9</v>
      </c>
      <c r="M1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11</v>
      </c>
    </row>
    <row r="18" spans="1:13" x14ac:dyDescent="0.25">
      <c r="A18" t="s">
        <v>2841</v>
      </c>
      <c r="B18" t="s">
        <v>1688</v>
      </c>
      <c r="C18" t="s">
        <v>1688</v>
      </c>
      <c r="D18">
        <v>32</v>
      </c>
      <c r="E18">
        <v>11</v>
      </c>
      <c r="F18">
        <v>9</v>
      </c>
      <c r="G18">
        <v>12</v>
      </c>
      <c r="H18" t="s">
        <v>2814</v>
      </c>
      <c r="I1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8" t="s">
        <v>23</v>
      </c>
      <c r="K18" t="str">
        <f>RIGHT(Tabla2[[#This Row],[codigo_producto]],LEN(Tabla2[[#This Row],[codigo_producto]])-FIND("/",Tabla2[[#This Row],[codigo_producto]]))</f>
        <v>916841</v>
      </c>
      <c r="L18" t="str">
        <f>LEFT(Tabla2[[#This Row],[codigo_producto]],FIND("/",Tabla2[[#This Row],[codigo_producto]])-1)</f>
        <v>9</v>
      </c>
      <c r="M1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11</v>
      </c>
    </row>
    <row r="19" spans="1:13" x14ac:dyDescent="0.25">
      <c r="A19" t="s">
        <v>2842</v>
      </c>
      <c r="B19" t="s">
        <v>1689</v>
      </c>
      <c r="C19" t="s">
        <v>1689</v>
      </c>
      <c r="D19">
        <v>32</v>
      </c>
      <c r="E19">
        <v>11</v>
      </c>
      <c r="F19">
        <v>9</v>
      </c>
      <c r="G19">
        <v>12</v>
      </c>
      <c r="H19" t="s">
        <v>2814</v>
      </c>
      <c r="I1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9" t="s">
        <v>24</v>
      </c>
      <c r="K19" t="str">
        <f>RIGHT(Tabla2[[#This Row],[codigo_producto]],LEN(Tabla2[[#This Row],[codigo_producto]])-FIND("/",Tabla2[[#This Row],[codigo_producto]]))</f>
        <v>917232</v>
      </c>
      <c r="L19" t="str">
        <f>LEFT(Tabla2[[#This Row],[codigo_producto]],FIND("/",Tabla2[[#This Row],[codigo_producto]])-1)</f>
        <v>9</v>
      </c>
      <c r="M1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11</v>
      </c>
    </row>
    <row r="20" spans="1:13" x14ac:dyDescent="0.25">
      <c r="A20" t="s">
        <v>2843</v>
      </c>
      <c r="B20" t="s">
        <v>1690</v>
      </c>
      <c r="C20" t="s">
        <v>1690</v>
      </c>
      <c r="D20">
        <v>32</v>
      </c>
      <c r="E20">
        <v>13</v>
      </c>
      <c r="F20">
        <v>9</v>
      </c>
      <c r="G20">
        <v>12</v>
      </c>
      <c r="H20" t="s">
        <v>2814</v>
      </c>
      <c r="I2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0" t="s">
        <v>25</v>
      </c>
      <c r="K20" t="str">
        <f>RIGHT(Tabla2[[#This Row],[codigo_producto]],LEN(Tabla2[[#This Row],[codigo_producto]])-FIND("/",Tabla2[[#This Row],[codigo_producto]]))</f>
        <v>033011</v>
      </c>
      <c r="L20" t="str">
        <f>LEFT(Tabla2[[#This Row],[codigo_producto]],FIND("/",Tabla2[[#This Row],[codigo_producto]])-1)</f>
        <v>10</v>
      </c>
      <c r="M2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21" spans="1:13" x14ac:dyDescent="0.25">
      <c r="A21" t="s">
        <v>2844</v>
      </c>
      <c r="B21" t="s">
        <v>1691</v>
      </c>
      <c r="C21" t="s">
        <v>1691</v>
      </c>
      <c r="D21">
        <v>32</v>
      </c>
      <c r="E21">
        <v>13</v>
      </c>
      <c r="F21">
        <v>9</v>
      </c>
      <c r="G21">
        <v>12</v>
      </c>
      <c r="H21" t="s">
        <v>2814</v>
      </c>
      <c r="I2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1" t="s">
        <v>26</v>
      </c>
      <c r="K21" t="str">
        <f>RIGHT(Tabla2[[#This Row],[codigo_producto]],LEN(Tabla2[[#This Row],[codigo_producto]])-FIND("/",Tabla2[[#This Row],[codigo_producto]]))</f>
        <v>033012</v>
      </c>
      <c r="L21" t="str">
        <f>LEFT(Tabla2[[#This Row],[codigo_producto]],FIND("/",Tabla2[[#This Row],[codigo_producto]])-1)</f>
        <v>10</v>
      </c>
      <c r="M2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22" spans="1:13" x14ac:dyDescent="0.25">
      <c r="A22" t="s">
        <v>2845</v>
      </c>
      <c r="B22" t="s">
        <v>1692</v>
      </c>
      <c r="C22" t="s">
        <v>1692</v>
      </c>
      <c r="D22">
        <v>22</v>
      </c>
      <c r="E22">
        <v>13</v>
      </c>
      <c r="F22">
        <v>9</v>
      </c>
      <c r="G22">
        <v>12</v>
      </c>
      <c r="H22" t="s">
        <v>2815</v>
      </c>
      <c r="I2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22" t="s">
        <v>27</v>
      </c>
      <c r="K22" t="str">
        <f>RIGHT(Tabla2[[#This Row],[codigo_producto]],LEN(Tabla2[[#This Row],[codigo_producto]])-FIND("/",Tabla2[[#This Row],[codigo_producto]]))</f>
        <v>10022P</v>
      </c>
      <c r="L22" t="str">
        <f>LEFT(Tabla2[[#This Row],[codigo_producto]],FIND("/",Tabla2[[#This Row],[codigo_producto]])-1)</f>
        <v>10</v>
      </c>
      <c r="M2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23" spans="1:13" x14ac:dyDescent="0.25">
      <c r="A23" t="s">
        <v>2846</v>
      </c>
      <c r="B23" t="s">
        <v>1693</v>
      </c>
      <c r="C23" t="s">
        <v>1693</v>
      </c>
      <c r="D23">
        <v>22</v>
      </c>
      <c r="E23">
        <v>13</v>
      </c>
      <c r="F23">
        <v>9</v>
      </c>
      <c r="G23">
        <v>12</v>
      </c>
      <c r="H23" t="s">
        <v>2815</v>
      </c>
      <c r="I2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23" t="s">
        <v>28</v>
      </c>
      <c r="K23" t="str">
        <f>RIGHT(Tabla2[[#This Row],[codigo_producto]],LEN(Tabla2[[#This Row],[codigo_producto]])-FIND("/",Tabla2[[#This Row],[codigo_producto]]))</f>
        <v>10055P</v>
      </c>
      <c r="L23" t="str">
        <f>LEFT(Tabla2[[#This Row],[codigo_producto]],FIND("/",Tabla2[[#This Row],[codigo_producto]])-1)</f>
        <v>10</v>
      </c>
      <c r="M2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24" spans="1:13" x14ac:dyDescent="0.25">
      <c r="A24" t="s">
        <v>2847</v>
      </c>
      <c r="B24" t="s">
        <v>1694</v>
      </c>
      <c r="C24" t="s">
        <v>1694</v>
      </c>
      <c r="D24">
        <v>32</v>
      </c>
      <c r="E24">
        <v>13</v>
      </c>
      <c r="F24">
        <v>9</v>
      </c>
      <c r="G24">
        <v>12</v>
      </c>
      <c r="H24" t="s">
        <v>2814</v>
      </c>
      <c r="I2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4" t="s">
        <v>29</v>
      </c>
      <c r="K24" t="str">
        <f>RIGHT(Tabla2[[#This Row],[codigo_producto]],LEN(Tabla2[[#This Row],[codigo_producto]])-FIND("/",Tabla2[[#This Row],[codigo_producto]]))</f>
        <v>108011</v>
      </c>
      <c r="L24" t="str">
        <f>LEFT(Tabla2[[#This Row],[codigo_producto]],FIND("/",Tabla2[[#This Row],[codigo_producto]])-1)</f>
        <v>10</v>
      </c>
      <c r="M2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25" spans="1:13" x14ac:dyDescent="0.25">
      <c r="A25" t="s">
        <v>2848</v>
      </c>
      <c r="B25" t="s">
        <v>1695</v>
      </c>
      <c r="C25" t="s">
        <v>1695</v>
      </c>
      <c r="D25">
        <v>25</v>
      </c>
      <c r="E25">
        <v>13</v>
      </c>
      <c r="F25">
        <v>9</v>
      </c>
      <c r="G25">
        <v>12</v>
      </c>
      <c r="H25" t="s">
        <v>2816</v>
      </c>
      <c r="I2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25" t="s">
        <v>30</v>
      </c>
      <c r="K25" t="str">
        <f>RIGHT(Tabla2[[#This Row],[codigo_producto]],LEN(Tabla2[[#This Row],[codigo_producto]])-FIND("/",Tabla2[[#This Row],[codigo_producto]]))</f>
        <v>311044</v>
      </c>
      <c r="L25" t="str">
        <f>LEFT(Tabla2[[#This Row],[codigo_producto]],FIND("/",Tabla2[[#This Row],[codigo_producto]])-1)</f>
        <v>10</v>
      </c>
      <c r="M2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26" spans="1:13" x14ac:dyDescent="0.25">
      <c r="A26" t="s">
        <v>2849</v>
      </c>
      <c r="B26" t="s">
        <v>1696</v>
      </c>
      <c r="C26" t="s">
        <v>1696</v>
      </c>
      <c r="D26">
        <v>25</v>
      </c>
      <c r="E26">
        <v>13</v>
      </c>
      <c r="F26">
        <v>9</v>
      </c>
      <c r="G26">
        <v>12</v>
      </c>
      <c r="H26" t="s">
        <v>2816</v>
      </c>
      <c r="I2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26" t="s">
        <v>31</v>
      </c>
      <c r="K26" t="str">
        <f>RIGHT(Tabla2[[#This Row],[codigo_producto]],LEN(Tabla2[[#This Row],[codigo_producto]])-FIND("/",Tabla2[[#This Row],[codigo_producto]]))</f>
        <v>650976</v>
      </c>
      <c r="L26" t="str">
        <f>LEFT(Tabla2[[#This Row],[codigo_producto]],FIND("/",Tabla2[[#This Row],[codigo_producto]])-1)</f>
        <v>10</v>
      </c>
      <c r="M2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27" spans="1:13" x14ac:dyDescent="0.25">
      <c r="A27" t="s">
        <v>2850</v>
      </c>
      <c r="B27" t="s">
        <v>1697</v>
      </c>
      <c r="C27" t="s">
        <v>1697</v>
      </c>
      <c r="D27">
        <v>25</v>
      </c>
      <c r="E27">
        <v>13</v>
      </c>
      <c r="F27">
        <v>9</v>
      </c>
      <c r="G27">
        <v>12</v>
      </c>
      <c r="H27" t="s">
        <v>2816</v>
      </c>
      <c r="I2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27" t="s">
        <v>32</v>
      </c>
      <c r="K27" t="str">
        <f>RIGHT(Tabla2[[#This Row],[codigo_producto]],LEN(Tabla2[[#This Row],[codigo_producto]])-FIND("/",Tabla2[[#This Row],[codigo_producto]]))</f>
        <v>651616</v>
      </c>
      <c r="L27" t="str">
        <f>LEFT(Tabla2[[#This Row],[codigo_producto]],FIND("/",Tabla2[[#This Row],[codigo_producto]])-1)</f>
        <v>10</v>
      </c>
      <c r="M2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28" spans="1:13" x14ac:dyDescent="0.25">
      <c r="A28" t="s">
        <v>2851</v>
      </c>
      <c r="B28" t="s">
        <v>1698</v>
      </c>
      <c r="C28" t="s">
        <v>1698</v>
      </c>
      <c r="D28">
        <v>32</v>
      </c>
      <c r="E28">
        <v>13</v>
      </c>
      <c r="F28">
        <v>9</v>
      </c>
      <c r="G28">
        <v>12</v>
      </c>
      <c r="H28" t="s">
        <v>2814</v>
      </c>
      <c r="I2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8" t="s">
        <v>33</v>
      </c>
      <c r="K28" t="str">
        <f>RIGHT(Tabla2[[#This Row],[codigo_producto]],LEN(Tabla2[[#This Row],[codigo_producto]])-FIND("/",Tabla2[[#This Row],[codigo_producto]]))</f>
        <v>651705</v>
      </c>
      <c r="L28" t="str">
        <f>LEFT(Tabla2[[#This Row],[codigo_producto]],FIND("/",Tabla2[[#This Row],[codigo_producto]])-1)</f>
        <v>10</v>
      </c>
      <c r="M2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29" spans="1:13" x14ac:dyDescent="0.25">
      <c r="A29" t="s">
        <v>2852</v>
      </c>
      <c r="B29" t="s">
        <v>1699</v>
      </c>
      <c r="C29" t="s">
        <v>1699</v>
      </c>
      <c r="D29">
        <v>32</v>
      </c>
      <c r="E29">
        <v>13</v>
      </c>
      <c r="F29">
        <v>9</v>
      </c>
      <c r="G29">
        <v>12</v>
      </c>
      <c r="H29" t="s">
        <v>2814</v>
      </c>
      <c r="I2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9" t="s">
        <v>34</v>
      </c>
      <c r="K29" t="str">
        <f>RIGHT(Tabla2[[#This Row],[codigo_producto]],LEN(Tabla2[[#This Row],[codigo_producto]])-FIND("/",Tabla2[[#This Row],[codigo_producto]]))</f>
        <v>892333</v>
      </c>
      <c r="L29" t="str">
        <f>LEFT(Tabla2[[#This Row],[codigo_producto]],FIND("/",Tabla2[[#This Row],[codigo_producto]])-1)</f>
        <v>10</v>
      </c>
      <c r="M2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30" spans="1:13" x14ac:dyDescent="0.25">
      <c r="A30" t="s">
        <v>2853</v>
      </c>
      <c r="B30" t="s">
        <v>1700</v>
      </c>
      <c r="C30" t="s">
        <v>1700</v>
      </c>
      <c r="D30">
        <v>22</v>
      </c>
      <c r="E30">
        <v>13</v>
      </c>
      <c r="F30">
        <v>9</v>
      </c>
      <c r="G30">
        <v>12</v>
      </c>
      <c r="H30" t="s">
        <v>2815</v>
      </c>
      <c r="I3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30" t="s">
        <v>35</v>
      </c>
      <c r="K30" t="str">
        <f>RIGHT(Tabla2[[#This Row],[codigo_producto]],LEN(Tabla2[[#This Row],[codigo_producto]])-FIND("/",Tabla2[[#This Row],[codigo_producto]]))</f>
        <v>A10037</v>
      </c>
      <c r="L30" t="str">
        <f>LEFT(Tabla2[[#This Row],[codigo_producto]],FIND("/",Tabla2[[#This Row],[codigo_producto]])-1)</f>
        <v>10</v>
      </c>
      <c r="M3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31" spans="1:13" x14ac:dyDescent="0.25">
      <c r="A31" t="s">
        <v>2854</v>
      </c>
      <c r="B31" t="s">
        <v>1701</v>
      </c>
      <c r="C31" t="s">
        <v>1701</v>
      </c>
      <c r="D31">
        <v>25</v>
      </c>
      <c r="E31">
        <v>13</v>
      </c>
      <c r="F31">
        <v>9</v>
      </c>
      <c r="G31">
        <v>12</v>
      </c>
      <c r="H31" t="s">
        <v>2816</v>
      </c>
      <c r="I3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31" t="s">
        <v>36</v>
      </c>
      <c r="K31" t="str">
        <f>RIGHT(Tabla2[[#This Row],[codigo_producto]],LEN(Tabla2[[#This Row],[codigo_producto]])-FIND("/",Tabla2[[#This Row],[codigo_producto]]))</f>
        <v>CC2826</v>
      </c>
      <c r="L31" t="str">
        <f>LEFT(Tabla2[[#This Row],[codigo_producto]],FIND("/",Tabla2[[#This Row],[codigo_producto]])-1)</f>
        <v>10</v>
      </c>
      <c r="M3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32" spans="1:13" x14ac:dyDescent="0.25">
      <c r="A32" t="s">
        <v>2855</v>
      </c>
      <c r="B32" t="s">
        <v>1702</v>
      </c>
      <c r="C32" t="s">
        <v>1702</v>
      </c>
      <c r="D32">
        <v>22</v>
      </c>
      <c r="E32">
        <v>6</v>
      </c>
      <c r="F32">
        <v>9</v>
      </c>
      <c r="G32">
        <v>12</v>
      </c>
      <c r="H32" t="s">
        <v>2815</v>
      </c>
      <c r="I3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32" t="s">
        <v>37</v>
      </c>
      <c r="K32" t="str">
        <f>RIGHT(Tabla2[[#This Row],[codigo_producto]],LEN(Tabla2[[#This Row],[codigo_producto]])-FIND("/",Tabla2[[#This Row],[codigo_producto]]))</f>
        <v>KITSEG2</v>
      </c>
      <c r="L32" t="str">
        <f>LEFT(Tabla2[[#This Row],[codigo_producto]],FIND("/",Tabla2[[#This Row],[codigo_producto]])-1)</f>
        <v>2</v>
      </c>
      <c r="M3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3" spans="1:13" x14ac:dyDescent="0.25">
      <c r="A33" t="s">
        <v>2856</v>
      </c>
      <c r="B33" t="s">
        <v>1703</v>
      </c>
      <c r="C33" t="s">
        <v>1703</v>
      </c>
      <c r="D33">
        <v>29</v>
      </c>
      <c r="E33">
        <v>7</v>
      </c>
      <c r="F33">
        <v>9</v>
      </c>
      <c r="G33">
        <v>12</v>
      </c>
      <c r="H33" t="s">
        <v>2817</v>
      </c>
      <c r="I3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29</v>
      </c>
      <c r="J33" t="s">
        <v>38</v>
      </c>
      <c r="K33" t="str">
        <f>RIGHT(Tabla2[[#This Row],[codigo_producto]],LEN(Tabla2[[#This Row],[codigo_producto]])-FIND("/",Tabla2[[#This Row],[codigo_producto]]))</f>
        <v>6000841</v>
      </c>
      <c r="L33" t="str">
        <f>LEFT(Tabla2[[#This Row],[codigo_producto]],FIND("/",Tabla2[[#This Row],[codigo_producto]])-1)</f>
        <v>3</v>
      </c>
      <c r="M3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34" spans="1:13" x14ac:dyDescent="0.25">
      <c r="A34" t="s">
        <v>2857</v>
      </c>
      <c r="B34" t="s">
        <v>1704</v>
      </c>
      <c r="C34" t="s">
        <v>1704</v>
      </c>
      <c r="D34">
        <v>32</v>
      </c>
      <c r="E34">
        <v>3</v>
      </c>
      <c r="F34">
        <v>9</v>
      </c>
      <c r="G34">
        <v>12</v>
      </c>
      <c r="H34" t="s">
        <v>2814</v>
      </c>
      <c r="I3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4" t="s">
        <v>39</v>
      </c>
      <c r="K34" t="str">
        <f>RIGHT(Tabla2[[#This Row],[codigo_producto]],LEN(Tabla2[[#This Row],[codigo_producto]])-FIND("/",Tabla2[[#This Row],[codigo_producto]]))</f>
        <v>9100705</v>
      </c>
      <c r="L34" t="str">
        <f>LEFT(Tabla2[[#This Row],[codigo_producto]],FIND("/",Tabla2[[#This Row],[codigo_producto]])-1)</f>
        <v>5</v>
      </c>
      <c r="M3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35" spans="1:13" x14ac:dyDescent="0.25">
      <c r="A35" t="s">
        <v>2858</v>
      </c>
      <c r="B35" t="s">
        <v>1705</v>
      </c>
      <c r="C35" t="s">
        <v>1705</v>
      </c>
      <c r="D35">
        <v>32</v>
      </c>
      <c r="E35">
        <v>3</v>
      </c>
      <c r="F35">
        <v>9</v>
      </c>
      <c r="G35">
        <v>12</v>
      </c>
      <c r="H35" t="s">
        <v>2814</v>
      </c>
      <c r="I3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5" t="s">
        <v>40</v>
      </c>
      <c r="K35" t="str">
        <f>RIGHT(Tabla2[[#This Row],[codigo_producto]],LEN(Tabla2[[#This Row],[codigo_producto]])-FIND("/",Tabla2[[#This Row],[codigo_producto]]))</f>
        <v>9100769</v>
      </c>
      <c r="L35" t="str">
        <f>LEFT(Tabla2[[#This Row],[codigo_producto]],FIND("/",Tabla2[[#This Row],[codigo_producto]])-1)</f>
        <v>5</v>
      </c>
      <c r="M3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36" spans="1:13" x14ac:dyDescent="0.25">
      <c r="A36" t="s">
        <v>2859</v>
      </c>
      <c r="B36" t="s">
        <v>1706</v>
      </c>
      <c r="C36" t="s">
        <v>1706</v>
      </c>
      <c r="D36">
        <v>32</v>
      </c>
      <c r="E36">
        <v>3</v>
      </c>
      <c r="F36">
        <v>9</v>
      </c>
      <c r="G36">
        <v>12</v>
      </c>
      <c r="H36" t="s">
        <v>2814</v>
      </c>
      <c r="I3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6" t="s">
        <v>41</v>
      </c>
      <c r="K36" t="str">
        <f>RIGHT(Tabla2[[#This Row],[codigo_producto]],LEN(Tabla2[[#This Row],[codigo_producto]])-FIND("/",Tabla2[[#This Row],[codigo_producto]]))</f>
        <v>9101025</v>
      </c>
      <c r="L36" t="str">
        <f>LEFT(Tabla2[[#This Row],[codigo_producto]],FIND("/",Tabla2[[#This Row],[codigo_producto]])-1)</f>
        <v>5</v>
      </c>
      <c r="M3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37" spans="1:13" x14ac:dyDescent="0.25">
      <c r="A37" t="s">
        <v>2860</v>
      </c>
      <c r="B37" t="s">
        <v>1707</v>
      </c>
      <c r="C37" t="s">
        <v>1707</v>
      </c>
      <c r="D37">
        <v>32</v>
      </c>
      <c r="E37">
        <v>2</v>
      </c>
      <c r="F37">
        <v>9</v>
      </c>
      <c r="G37">
        <v>12</v>
      </c>
      <c r="H37" t="s">
        <v>2814</v>
      </c>
      <c r="I3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7" t="s">
        <v>42</v>
      </c>
      <c r="K37" t="str">
        <f>RIGHT(Tabla2[[#This Row],[codigo_producto]],LEN(Tabla2[[#This Row],[codigo_producto]])-FIND("/",Tabla2[[#This Row],[codigo_producto]]))</f>
        <v>016488</v>
      </c>
      <c r="L37" t="str">
        <f>LEFT(Tabla2[[#This Row],[codigo_producto]],FIND("/",Tabla2[[#This Row],[codigo_producto]])-1)</f>
        <v>59</v>
      </c>
      <c r="M3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38" spans="1:13" x14ac:dyDescent="0.25">
      <c r="A38" t="s">
        <v>2861</v>
      </c>
      <c r="B38" t="s">
        <v>1708</v>
      </c>
      <c r="C38" t="s">
        <v>1708</v>
      </c>
      <c r="D38">
        <v>32</v>
      </c>
      <c r="E38">
        <v>2</v>
      </c>
      <c r="F38">
        <v>9</v>
      </c>
      <c r="G38">
        <v>12</v>
      </c>
      <c r="H38" t="s">
        <v>2814</v>
      </c>
      <c r="I3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8" t="s">
        <v>43</v>
      </c>
      <c r="K38" t="str">
        <f>RIGHT(Tabla2[[#This Row],[codigo_producto]],LEN(Tabla2[[#This Row],[codigo_producto]])-FIND("/",Tabla2[[#This Row],[codigo_producto]]))</f>
        <v>031132</v>
      </c>
      <c r="L38" t="str">
        <f>LEFT(Tabla2[[#This Row],[codigo_producto]],FIND("/",Tabla2[[#This Row],[codigo_producto]])-1)</f>
        <v>59</v>
      </c>
      <c r="M3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39" spans="1:13" x14ac:dyDescent="0.25">
      <c r="A39" t="s">
        <v>2862</v>
      </c>
      <c r="B39" t="s">
        <v>1709</v>
      </c>
      <c r="C39" t="s">
        <v>1709</v>
      </c>
      <c r="D39">
        <v>32</v>
      </c>
      <c r="E39">
        <v>2</v>
      </c>
      <c r="F39">
        <v>9</v>
      </c>
      <c r="G39">
        <v>12</v>
      </c>
      <c r="H39" t="s">
        <v>2814</v>
      </c>
      <c r="I3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9" t="s">
        <v>44</v>
      </c>
      <c r="K39" t="str">
        <f>RIGHT(Tabla2[[#This Row],[codigo_producto]],LEN(Tabla2[[#This Row],[codigo_producto]])-FIND("/",Tabla2[[#This Row],[codigo_producto]]))</f>
        <v>031138</v>
      </c>
      <c r="L39" t="str">
        <f>LEFT(Tabla2[[#This Row],[codigo_producto]],FIND("/",Tabla2[[#This Row],[codigo_producto]])-1)</f>
        <v>59</v>
      </c>
      <c r="M3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40" spans="1:13" x14ac:dyDescent="0.25">
      <c r="A40" t="s">
        <v>2863</v>
      </c>
      <c r="B40" t="s">
        <v>1710</v>
      </c>
      <c r="C40" t="s">
        <v>1710</v>
      </c>
      <c r="D40">
        <v>32</v>
      </c>
      <c r="E40">
        <v>2</v>
      </c>
      <c r="F40">
        <v>9</v>
      </c>
      <c r="G40">
        <v>12</v>
      </c>
      <c r="H40" t="s">
        <v>2814</v>
      </c>
      <c r="I4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0" t="s">
        <v>45</v>
      </c>
      <c r="K40" t="str">
        <f>RIGHT(Tabla2[[#This Row],[codigo_producto]],LEN(Tabla2[[#This Row],[codigo_producto]])-FIND("/",Tabla2[[#This Row],[codigo_producto]]))</f>
        <v>031340</v>
      </c>
      <c r="L40" t="str">
        <f>LEFT(Tabla2[[#This Row],[codigo_producto]],FIND("/",Tabla2[[#This Row],[codigo_producto]])-1)</f>
        <v>59</v>
      </c>
      <c r="M4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41" spans="1:13" x14ac:dyDescent="0.25">
      <c r="A41" t="s">
        <v>2864</v>
      </c>
      <c r="B41" t="s">
        <v>1711</v>
      </c>
      <c r="C41" t="s">
        <v>1711</v>
      </c>
      <c r="D41">
        <v>32</v>
      </c>
      <c r="E41">
        <v>2</v>
      </c>
      <c r="F41">
        <v>9</v>
      </c>
      <c r="G41">
        <v>12</v>
      </c>
      <c r="H41" t="s">
        <v>2814</v>
      </c>
      <c r="I4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1" t="s">
        <v>46</v>
      </c>
      <c r="K41" t="str">
        <f>RIGHT(Tabla2[[#This Row],[codigo_producto]],LEN(Tabla2[[#This Row],[codigo_producto]])-FIND("/",Tabla2[[#This Row],[codigo_producto]]))</f>
        <v>0816F6</v>
      </c>
      <c r="L41" t="str">
        <f>LEFT(Tabla2[[#This Row],[codigo_producto]],FIND("/",Tabla2[[#This Row],[codigo_producto]])-1)</f>
        <v>59</v>
      </c>
      <c r="M4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42" spans="1:13" x14ac:dyDescent="0.25">
      <c r="A42" t="s">
        <v>2865</v>
      </c>
      <c r="B42" t="s">
        <v>1712</v>
      </c>
      <c r="C42" t="s">
        <v>1712</v>
      </c>
      <c r="D42">
        <v>32</v>
      </c>
      <c r="E42">
        <v>2</v>
      </c>
      <c r="F42">
        <v>9</v>
      </c>
      <c r="G42">
        <v>12</v>
      </c>
      <c r="H42" t="s">
        <v>2814</v>
      </c>
      <c r="I4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2" t="s">
        <v>47</v>
      </c>
      <c r="K42" t="str">
        <f>RIGHT(Tabla2[[#This Row],[codigo_producto]],LEN(Tabla2[[#This Row],[codigo_producto]])-FIND("/",Tabla2[[#This Row],[codigo_producto]]))</f>
        <v>1109AL</v>
      </c>
      <c r="L42" t="str">
        <f>LEFT(Tabla2[[#This Row],[codigo_producto]],FIND("/",Tabla2[[#This Row],[codigo_producto]])-1)</f>
        <v>59</v>
      </c>
      <c r="M4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43" spans="1:13" x14ac:dyDescent="0.25">
      <c r="A43" t="s">
        <v>2866</v>
      </c>
      <c r="B43" t="s">
        <v>1713</v>
      </c>
      <c r="C43" t="s">
        <v>1713</v>
      </c>
      <c r="D43">
        <v>32</v>
      </c>
      <c r="E43">
        <v>2</v>
      </c>
      <c r="F43">
        <v>9</v>
      </c>
      <c r="G43">
        <v>12</v>
      </c>
      <c r="H43" t="s">
        <v>2814</v>
      </c>
      <c r="I4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3" t="s">
        <v>48</v>
      </c>
      <c r="K43" t="str">
        <f>RIGHT(Tabla2[[#This Row],[codigo_producto]],LEN(Tabla2[[#This Row],[codigo_producto]])-FIND("/",Tabla2[[#This Row],[codigo_producto]]))</f>
        <v>1109AY</v>
      </c>
      <c r="L43" t="str">
        <f>LEFT(Tabla2[[#This Row],[codigo_producto]],FIND("/",Tabla2[[#This Row],[codigo_producto]])-1)</f>
        <v>59</v>
      </c>
      <c r="M4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44" spans="1:13" x14ac:dyDescent="0.25">
      <c r="A44" t="s">
        <v>2867</v>
      </c>
      <c r="B44" t="s">
        <v>1714</v>
      </c>
      <c r="C44" t="s">
        <v>1714</v>
      </c>
      <c r="D44">
        <v>32</v>
      </c>
      <c r="E44">
        <v>2</v>
      </c>
      <c r="F44">
        <v>9</v>
      </c>
      <c r="G44">
        <v>12</v>
      </c>
      <c r="H44" t="s">
        <v>2814</v>
      </c>
      <c r="I4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4" t="s">
        <v>49</v>
      </c>
      <c r="K44" t="str">
        <f>RIGHT(Tabla2[[#This Row],[codigo_producto]],LEN(Tabla2[[#This Row],[codigo_producto]])-FIND("/",Tabla2[[#This Row],[codigo_producto]]))</f>
        <v>1444TT</v>
      </c>
      <c r="L44" t="str">
        <f>LEFT(Tabla2[[#This Row],[codigo_producto]],FIND("/",Tabla2[[#This Row],[codigo_producto]])-1)</f>
        <v>59</v>
      </c>
      <c r="M4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45" spans="1:13" x14ac:dyDescent="0.25">
      <c r="A45" t="s">
        <v>2868</v>
      </c>
      <c r="B45" t="s">
        <v>1715</v>
      </c>
      <c r="C45" t="s">
        <v>1715</v>
      </c>
      <c r="D45">
        <v>32</v>
      </c>
      <c r="E45">
        <v>2</v>
      </c>
      <c r="F45">
        <v>9</v>
      </c>
      <c r="G45">
        <v>12</v>
      </c>
      <c r="H45" t="s">
        <v>2814</v>
      </c>
      <c r="I4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5" t="s">
        <v>50</v>
      </c>
      <c r="K45" t="str">
        <f>RIGHT(Tabla2[[#This Row],[codigo_producto]],LEN(Tabla2[[#This Row],[codigo_producto]])-FIND("/",Tabla2[[#This Row],[codigo_producto]]))</f>
        <v>1444TV</v>
      </c>
      <c r="L45" t="str">
        <f>LEFT(Tabla2[[#This Row],[codigo_producto]],FIND("/",Tabla2[[#This Row],[codigo_producto]])-1)</f>
        <v>59</v>
      </c>
      <c r="M4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46" spans="1:13" x14ac:dyDescent="0.25">
      <c r="A46" t="s">
        <v>2869</v>
      </c>
      <c r="B46" t="s">
        <v>1716</v>
      </c>
      <c r="C46" t="s">
        <v>1716</v>
      </c>
      <c r="D46">
        <v>32</v>
      </c>
      <c r="E46">
        <v>2</v>
      </c>
      <c r="F46">
        <v>9</v>
      </c>
      <c r="G46">
        <v>12</v>
      </c>
      <c r="H46" t="s">
        <v>2814</v>
      </c>
      <c r="I4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6" t="s">
        <v>51</v>
      </c>
      <c r="K46" t="str">
        <f>RIGHT(Tabla2[[#This Row],[codigo_producto]],LEN(Tabla2[[#This Row],[codigo_producto]])-FIND("/",Tabla2[[#This Row],[codigo_producto]]))</f>
        <v>1444VH</v>
      </c>
      <c r="L46" t="str">
        <f>LEFT(Tabla2[[#This Row],[codigo_producto]],FIND("/",Tabla2[[#This Row],[codigo_producto]])-1)</f>
        <v>59</v>
      </c>
      <c r="M4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47" spans="1:13" x14ac:dyDescent="0.25">
      <c r="A47" t="s">
        <v>2870</v>
      </c>
      <c r="B47" t="s">
        <v>1717</v>
      </c>
      <c r="C47" t="s">
        <v>1717</v>
      </c>
      <c r="D47">
        <v>32</v>
      </c>
      <c r="E47">
        <v>2</v>
      </c>
      <c r="F47">
        <v>9</v>
      </c>
      <c r="G47">
        <v>12</v>
      </c>
      <c r="H47" t="s">
        <v>2814</v>
      </c>
      <c r="I4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7" t="s">
        <v>52</v>
      </c>
      <c r="K47" t="str">
        <f>RIGHT(Tabla2[[#This Row],[codigo_producto]],LEN(Tabla2[[#This Row],[codigo_producto]])-FIND("/",Tabla2[[#This Row],[codigo_producto]]))</f>
        <v>1444VK</v>
      </c>
      <c r="L47" t="str">
        <f>LEFT(Tabla2[[#This Row],[codigo_producto]],FIND("/",Tabla2[[#This Row],[codigo_producto]])-1)</f>
        <v>59</v>
      </c>
      <c r="M4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48" spans="1:13" x14ac:dyDescent="0.25">
      <c r="A48" t="s">
        <v>2871</v>
      </c>
      <c r="B48" t="s">
        <v>1718</v>
      </c>
      <c r="C48" t="s">
        <v>1718</v>
      </c>
      <c r="D48">
        <v>32</v>
      </c>
      <c r="E48">
        <v>2</v>
      </c>
      <c r="F48">
        <v>9</v>
      </c>
      <c r="G48">
        <v>12</v>
      </c>
      <c r="H48" t="s">
        <v>2814</v>
      </c>
      <c r="I4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8" t="s">
        <v>53</v>
      </c>
      <c r="K48" t="str">
        <f>RIGHT(Tabla2[[#This Row],[codigo_producto]],LEN(Tabla2[[#This Row],[codigo_producto]])-FIND("/",Tabla2[[#This Row],[codigo_producto]]))</f>
        <v>1444XG</v>
      </c>
      <c r="L48" t="str">
        <f>LEFT(Tabla2[[#This Row],[codigo_producto]],FIND("/",Tabla2[[#This Row],[codigo_producto]])-1)</f>
        <v>59</v>
      </c>
      <c r="M4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49" spans="1:13" x14ac:dyDescent="0.25">
      <c r="A49" t="s">
        <v>2872</v>
      </c>
      <c r="B49" t="s">
        <v>1719</v>
      </c>
      <c r="C49" t="s">
        <v>1719</v>
      </c>
      <c r="D49">
        <v>32</v>
      </c>
      <c r="E49">
        <v>2</v>
      </c>
      <c r="F49">
        <v>9</v>
      </c>
      <c r="G49">
        <v>12</v>
      </c>
      <c r="H49" t="s">
        <v>2814</v>
      </c>
      <c r="I4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9" t="s">
        <v>54</v>
      </c>
      <c r="K49" t="str">
        <f>RIGHT(Tabla2[[#This Row],[codigo_producto]],LEN(Tabla2[[#This Row],[codigo_producto]])-FIND("/",Tabla2[[#This Row],[codigo_producto]]))</f>
        <v>1618HR</v>
      </c>
      <c r="L49" t="str">
        <f>LEFT(Tabla2[[#This Row],[codigo_producto]],FIND("/",Tabla2[[#This Row],[codigo_producto]])-1)</f>
        <v>59</v>
      </c>
      <c r="M4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50" spans="1:13" x14ac:dyDescent="0.25">
      <c r="A50" t="s">
        <v>2873</v>
      </c>
      <c r="B50" t="s">
        <v>1720</v>
      </c>
      <c r="C50" t="s">
        <v>1720</v>
      </c>
      <c r="D50">
        <v>32</v>
      </c>
      <c r="E50">
        <v>2</v>
      </c>
      <c r="F50">
        <v>9</v>
      </c>
      <c r="G50">
        <v>12</v>
      </c>
      <c r="H50" t="s">
        <v>2814</v>
      </c>
      <c r="I5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0" t="s">
        <v>55</v>
      </c>
      <c r="K50" t="str">
        <f>RIGHT(Tabla2[[#This Row],[codigo_producto]],LEN(Tabla2[[#This Row],[codigo_producto]])-FIND("/",Tabla2[[#This Row],[codigo_producto]]))</f>
        <v>1806A6</v>
      </c>
      <c r="L50" t="str">
        <f>LEFT(Tabla2[[#This Row],[codigo_producto]],FIND("/",Tabla2[[#This Row],[codigo_producto]])-1)</f>
        <v>59</v>
      </c>
      <c r="M5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51" spans="1:13" x14ac:dyDescent="0.25">
      <c r="A51" t="s">
        <v>2874</v>
      </c>
      <c r="B51" t="s">
        <v>1721</v>
      </c>
      <c r="C51" t="s">
        <v>1721</v>
      </c>
      <c r="D51">
        <v>32</v>
      </c>
      <c r="E51">
        <v>2</v>
      </c>
      <c r="F51">
        <v>9</v>
      </c>
      <c r="G51">
        <v>12</v>
      </c>
      <c r="H51" t="s">
        <v>2814</v>
      </c>
      <c r="I5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1" t="s">
        <v>56</v>
      </c>
      <c r="K51" t="str">
        <f>RIGHT(Tabla2[[#This Row],[codigo_producto]],LEN(Tabla2[[#This Row],[codigo_producto]])-FIND("/",Tabla2[[#This Row],[codigo_producto]]))</f>
        <v>4249K1</v>
      </c>
      <c r="L51" t="str">
        <f>LEFT(Tabla2[[#This Row],[codigo_producto]],FIND("/",Tabla2[[#This Row],[codigo_producto]])-1)</f>
        <v>59</v>
      </c>
      <c r="M5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52" spans="1:13" x14ac:dyDescent="0.25">
      <c r="A52" t="s">
        <v>2875</v>
      </c>
      <c r="B52" t="s">
        <v>1722</v>
      </c>
      <c r="C52" t="s">
        <v>1722</v>
      </c>
      <c r="D52">
        <v>32</v>
      </c>
      <c r="E52">
        <v>2</v>
      </c>
      <c r="F52">
        <v>9</v>
      </c>
      <c r="G52">
        <v>12</v>
      </c>
      <c r="H52" t="s">
        <v>2814</v>
      </c>
      <c r="I5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2" t="s">
        <v>57</v>
      </c>
      <c r="K52" t="str">
        <f>RIGHT(Tabla2[[#This Row],[codigo_producto]],LEN(Tabla2[[#This Row],[codigo_producto]])-FIND("/",Tabla2[[#This Row],[codigo_producto]]))</f>
        <v>4254C0</v>
      </c>
      <c r="L52" t="str">
        <f>LEFT(Tabla2[[#This Row],[codigo_producto]],FIND("/",Tabla2[[#This Row],[codigo_producto]])-1)</f>
        <v>59</v>
      </c>
      <c r="M5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53" spans="1:13" x14ac:dyDescent="0.25">
      <c r="A53" t="s">
        <v>2876</v>
      </c>
      <c r="B53" t="s">
        <v>1723</v>
      </c>
      <c r="C53" t="s">
        <v>1723</v>
      </c>
      <c r="D53">
        <v>32</v>
      </c>
      <c r="E53">
        <v>2</v>
      </c>
      <c r="F53">
        <v>9</v>
      </c>
      <c r="G53">
        <v>12</v>
      </c>
      <c r="H53" t="s">
        <v>2814</v>
      </c>
      <c r="I5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3" t="s">
        <v>58</v>
      </c>
      <c r="K53" t="str">
        <f>RIGHT(Tabla2[[#This Row],[codigo_producto]],LEN(Tabla2[[#This Row],[codigo_producto]])-FIND("/",Tabla2[[#This Row],[codigo_producto]]))</f>
        <v>4402F8</v>
      </c>
      <c r="L53" t="str">
        <f>LEFT(Tabla2[[#This Row],[codigo_producto]],FIND("/",Tabla2[[#This Row],[codigo_producto]])-1)</f>
        <v>59</v>
      </c>
      <c r="M5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54" spans="1:13" x14ac:dyDescent="0.25">
      <c r="A54" t="s">
        <v>2877</v>
      </c>
      <c r="B54" t="s">
        <v>1724</v>
      </c>
      <c r="C54" t="s">
        <v>1724</v>
      </c>
      <c r="D54">
        <v>32</v>
      </c>
      <c r="E54">
        <v>2</v>
      </c>
      <c r="F54">
        <v>9</v>
      </c>
      <c r="G54">
        <v>12</v>
      </c>
      <c r="H54" t="s">
        <v>2814</v>
      </c>
      <c r="I5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4" t="s">
        <v>59</v>
      </c>
      <c r="K54" t="str">
        <f>RIGHT(Tabla2[[#This Row],[codigo_producto]],LEN(Tabla2[[#This Row],[codigo_producto]])-FIND("/",Tabla2[[#This Row],[codigo_producto]]))</f>
        <v>5750ZH</v>
      </c>
      <c r="L54" t="str">
        <f>LEFT(Tabla2[[#This Row],[codigo_producto]],FIND("/",Tabla2[[#This Row],[codigo_producto]])-1)</f>
        <v>59</v>
      </c>
      <c r="M5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55" spans="1:13" x14ac:dyDescent="0.25">
      <c r="A55" t="s">
        <v>2878</v>
      </c>
      <c r="B55" t="s">
        <v>1725</v>
      </c>
      <c r="C55" t="s">
        <v>1725</v>
      </c>
      <c r="D55">
        <v>32</v>
      </c>
      <c r="E55">
        <v>2</v>
      </c>
      <c r="F55">
        <v>9</v>
      </c>
      <c r="G55">
        <v>12</v>
      </c>
      <c r="H55" t="s">
        <v>2814</v>
      </c>
      <c r="I5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5" t="s">
        <v>60</v>
      </c>
      <c r="K55" t="str">
        <f>RIGHT(Tabla2[[#This Row],[codigo_producto]],LEN(Tabla2[[#This Row],[codigo_producto]])-FIND("/",Tabla2[[#This Row],[codigo_producto]]))</f>
        <v>5960E6</v>
      </c>
      <c r="L55" t="str">
        <f>LEFT(Tabla2[[#This Row],[codigo_producto]],FIND("/",Tabla2[[#This Row],[codigo_producto]])-1)</f>
        <v>59</v>
      </c>
      <c r="M5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56" spans="1:13" x14ac:dyDescent="0.25">
      <c r="A56" t="s">
        <v>2879</v>
      </c>
      <c r="B56" t="s">
        <v>1726</v>
      </c>
      <c r="C56" t="s">
        <v>1726</v>
      </c>
      <c r="D56">
        <v>32</v>
      </c>
      <c r="E56">
        <v>2</v>
      </c>
      <c r="F56">
        <v>9</v>
      </c>
      <c r="G56">
        <v>12</v>
      </c>
      <c r="H56" t="s">
        <v>2814</v>
      </c>
      <c r="I5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6" t="s">
        <v>61</v>
      </c>
      <c r="K56" t="str">
        <f>RIGHT(Tabla2[[#This Row],[codigo_producto]],LEN(Tabla2[[#This Row],[codigo_producto]])-FIND("/",Tabla2[[#This Row],[codigo_producto]]))</f>
        <v>5960L5</v>
      </c>
      <c r="L56" t="str">
        <f>LEFT(Tabla2[[#This Row],[codigo_producto]],FIND("/",Tabla2[[#This Row],[codigo_producto]])-1)</f>
        <v>59</v>
      </c>
      <c r="M5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57" spans="1:13" x14ac:dyDescent="0.25">
      <c r="A57" t="s">
        <v>2880</v>
      </c>
      <c r="B57" t="s">
        <v>1727</v>
      </c>
      <c r="C57" t="s">
        <v>1727</v>
      </c>
      <c r="D57">
        <v>32</v>
      </c>
      <c r="E57">
        <v>2</v>
      </c>
      <c r="F57">
        <v>9</v>
      </c>
      <c r="G57">
        <v>12</v>
      </c>
      <c r="H57" t="s">
        <v>2814</v>
      </c>
      <c r="I5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7" t="s">
        <v>62</v>
      </c>
      <c r="K57" t="str">
        <f>RIGHT(Tabla2[[#This Row],[codigo_producto]],LEN(Tabla2[[#This Row],[codigo_producto]])-FIND("/",Tabla2[[#This Row],[codigo_producto]]))</f>
        <v>6447XG</v>
      </c>
      <c r="L57" t="str">
        <f>LEFT(Tabla2[[#This Row],[codigo_producto]],FIND("/",Tabla2[[#This Row],[codigo_producto]])-1)</f>
        <v>59</v>
      </c>
      <c r="M5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58" spans="1:13" x14ac:dyDescent="0.25">
      <c r="A58" t="s">
        <v>2881</v>
      </c>
      <c r="B58" t="s">
        <v>1728</v>
      </c>
      <c r="C58" t="s">
        <v>1728</v>
      </c>
      <c r="D58">
        <v>32</v>
      </c>
      <c r="E58">
        <v>2</v>
      </c>
      <c r="F58">
        <v>9</v>
      </c>
      <c r="G58">
        <v>12</v>
      </c>
      <c r="H58" t="s">
        <v>2814</v>
      </c>
      <c r="I5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8" t="s">
        <v>63</v>
      </c>
      <c r="K58" t="str">
        <f>RIGHT(Tabla2[[#This Row],[codigo_producto]],LEN(Tabla2[[#This Row],[codigo_producto]])-FIND("/",Tabla2[[#This Row],[codigo_producto]]))</f>
        <v>6479C2</v>
      </c>
      <c r="L58" t="str">
        <f>LEFT(Tabla2[[#This Row],[codigo_producto]],FIND("/",Tabla2[[#This Row],[codigo_producto]])-1)</f>
        <v>59</v>
      </c>
      <c r="M5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59" spans="1:13" x14ac:dyDescent="0.25">
      <c r="A59" t="s">
        <v>2882</v>
      </c>
      <c r="B59" t="s">
        <v>1729</v>
      </c>
      <c r="C59" t="s">
        <v>1729</v>
      </c>
      <c r="D59">
        <v>32</v>
      </c>
      <c r="E59">
        <v>2</v>
      </c>
      <c r="F59">
        <v>9</v>
      </c>
      <c r="G59">
        <v>12</v>
      </c>
      <c r="H59" t="s">
        <v>2814</v>
      </c>
      <c r="I5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9" t="s">
        <v>64</v>
      </c>
      <c r="K59" t="str">
        <f>RIGHT(Tabla2[[#This Row],[codigo_producto]],LEN(Tabla2[[#This Row],[codigo_producto]])-FIND("/",Tabla2[[#This Row],[codigo_producto]]))</f>
        <v>6479C9</v>
      </c>
      <c r="L59" t="str">
        <f>LEFT(Tabla2[[#This Row],[codigo_producto]],FIND("/",Tabla2[[#This Row],[codigo_producto]])-1)</f>
        <v>59</v>
      </c>
      <c r="M5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0" spans="1:13" x14ac:dyDescent="0.25">
      <c r="A60" t="s">
        <v>2883</v>
      </c>
      <c r="B60" t="s">
        <v>1730</v>
      </c>
      <c r="C60" t="s">
        <v>1730</v>
      </c>
      <c r="D60">
        <v>32</v>
      </c>
      <c r="E60">
        <v>2</v>
      </c>
      <c r="F60">
        <v>9</v>
      </c>
      <c r="G60">
        <v>12</v>
      </c>
      <c r="H60" t="s">
        <v>2814</v>
      </c>
      <c r="I6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0" t="s">
        <v>65</v>
      </c>
      <c r="K60" t="str">
        <f>RIGHT(Tabla2[[#This Row],[codigo_producto]],LEN(Tabla2[[#This Row],[codigo_producto]])-FIND("/",Tabla2[[#This Row],[codigo_producto]]))</f>
        <v>9734R7</v>
      </c>
      <c r="L60" t="str">
        <f>LEFT(Tabla2[[#This Row],[codigo_producto]],FIND("/",Tabla2[[#This Row],[codigo_producto]])-1)</f>
        <v>59</v>
      </c>
      <c r="M6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1" spans="1:13" x14ac:dyDescent="0.25">
      <c r="A61" t="s">
        <v>2884</v>
      </c>
      <c r="B61" t="s">
        <v>1731</v>
      </c>
      <c r="C61" t="s">
        <v>1731</v>
      </c>
      <c r="D61">
        <v>32</v>
      </c>
      <c r="E61">
        <v>1</v>
      </c>
      <c r="F61">
        <v>9</v>
      </c>
      <c r="G61">
        <v>12</v>
      </c>
      <c r="H61" t="s">
        <v>2814</v>
      </c>
      <c r="I6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1" t="s">
        <v>66</v>
      </c>
      <c r="K61" t="str">
        <f>RIGHT(Tabla2[[#This Row],[codigo_producto]],LEN(Tabla2[[#This Row],[codigo_producto]])-FIND("/",Tabla2[[#This Row],[codigo_producto]]))</f>
        <v>LONAJAC</v>
      </c>
      <c r="L61" t="str">
        <f>LEFT(Tabla2[[#This Row],[codigo_producto]],FIND("/",Tabla2[[#This Row],[codigo_producto]])-1)</f>
        <v>6</v>
      </c>
      <c r="M6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62" spans="1:13" x14ac:dyDescent="0.25">
      <c r="A62" t="s">
        <v>2885</v>
      </c>
      <c r="B62" t="s">
        <v>1712</v>
      </c>
      <c r="C62" t="s">
        <v>1712</v>
      </c>
      <c r="D62">
        <v>32</v>
      </c>
      <c r="E62">
        <v>1</v>
      </c>
      <c r="F62">
        <v>9</v>
      </c>
      <c r="G62">
        <v>12</v>
      </c>
      <c r="H62" t="s">
        <v>2814</v>
      </c>
      <c r="I6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2" t="s">
        <v>67</v>
      </c>
      <c r="K62" t="str">
        <f>RIGHT(Tabla2[[#This Row],[codigo_producto]],LEN(Tabla2[[#This Row],[codigo_producto]])-FIND("/",Tabla2[[#This Row],[codigo_producto]]))</f>
        <v>Y003110</v>
      </c>
      <c r="L62" t="str">
        <f>LEFT(Tabla2[[#This Row],[codigo_producto]],FIND("/",Tabla2[[#This Row],[codigo_producto]])-1)</f>
        <v>6</v>
      </c>
      <c r="M6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63" spans="1:13" x14ac:dyDescent="0.25">
      <c r="A63" t="s">
        <v>2886</v>
      </c>
      <c r="B63" t="s">
        <v>1732</v>
      </c>
      <c r="C63" t="s">
        <v>1732</v>
      </c>
      <c r="D63">
        <v>32</v>
      </c>
      <c r="E63">
        <v>1</v>
      </c>
      <c r="F63">
        <v>9</v>
      </c>
      <c r="G63">
        <v>12</v>
      </c>
      <c r="H63" t="s">
        <v>2814</v>
      </c>
      <c r="I6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3" t="s">
        <v>68</v>
      </c>
      <c r="K63" t="str">
        <f>RIGHT(Tabla2[[#This Row],[codigo_producto]],LEN(Tabla2[[#This Row],[codigo_producto]])-FIND("/",Tabla2[[#This Row],[codigo_producto]]))</f>
        <v>Y041060</v>
      </c>
      <c r="L63" t="str">
        <f>LEFT(Tabla2[[#This Row],[codigo_producto]],FIND("/",Tabla2[[#This Row],[codigo_producto]])-1)</f>
        <v>6</v>
      </c>
      <c r="M6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64" spans="1:13" x14ac:dyDescent="0.25">
      <c r="A64" t="s">
        <v>2887</v>
      </c>
      <c r="B64" t="s">
        <v>1733</v>
      </c>
      <c r="C64" t="s">
        <v>1733</v>
      </c>
      <c r="D64">
        <v>32</v>
      </c>
      <c r="E64">
        <v>5</v>
      </c>
      <c r="F64">
        <v>9</v>
      </c>
      <c r="G64">
        <v>12</v>
      </c>
      <c r="H64" t="s">
        <v>2814</v>
      </c>
      <c r="I6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4" t="s">
        <v>69</v>
      </c>
      <c r="K64" t="str">
        <f>RIGHT(Tabla2[[#This Row],[codigo_producto]],LEN(Tabla2[[#This Row],[codigo_producto]])-FIND("/",Tabla2[[#This Row],[codigo_producto]]))</f>
        <v>SHA3211</v>
      </c>
      <c r="L64" t="str">
        <f>LEFT(Tabla2[[#This Row],[codigo_producto]],FIND("/",Tabla2[[#This Row],[codigo_producto]])-1)</f>
        <v>7</v>
      </c>
      <c r="M6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65" spans="1:13" x14ac:dyDescent="0.25">
      <c r="A65" t="s">
        <v>2888</v>
      </c>
      <c r="B65" t="s">
        <v>1734</v>
      </c>
      <c r="C65" t="s">
        <v>1734</v>
      </c>
      <c r="D65">
        <v>29</v>
      </c>
      <c r="E65">
        <v>13</v>
      </c>
      <c r="F65">
        <v>9</v>
      </c>
      <c r="G65">
        <v>12</v>
      </c>
      <c r="H65" t="s">
        <v>2817</v>
      </c>
      <c r="I6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29</v>
      </c>
      <c r="J65" t="s">
        <v>70</v>
      </c>
      <c r="K65" t="str">
        <f>RIGHT(Tabla2[[#This Row],[codigo_producto]],LEN(Tabla2[[#This Row],[codigo_producto]])-FIND("/",Tabla2[[#This Row],[codigo_producto]]))</f>
        <v>6000610</v>
      </c>
      <c r="L65" t="str">
        <f>LEFT(Tabla2[[#This Row],[codigo_producto]],FIND("/",Tabla2[[#This Row],[codigo_producto]])-1)</f>
        <v>10</v>
      </c>
      <c r="M6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66" spans="1:13" x14ac:dyDescent="0.25">
      <c r="A66" t="s">
        <v>2889</v>
      </c>
      <c r="B66" t="s">
        <v>1735</v>
      </c>
      <c r="C66" t="s">
        <v>1735</v>
      </c>
      <c r="D66">
        <v>32</v>
      </c>
      <c r="E66">
        <v>13</v>
      </c>
      <c r="F66">
        <v>9</v>
      </c>
      <c r="G66">
        <v>12</v>
      </c>
      <c r="H66" t="s">
        <v>2814</v>
      </c>
      <c r="I6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6" t="s">
        <v>71</v>
      </c>
      <c r="K66" t="str">
        <f>RIGHT(Tabla2[[#This Row],[codigo_producto]],LEN(Tabla2[[#This Row],[codigo_producto]])-FIND("/",Tabla2[[#This Row],[codigo_producto]]))</f>
        <v>6000621</v>
      </c>
      <c r="L66" t="str">
        <f>LEFT(Tabla2[[#This Row],[codigo_producto]],FIND("/",Tabla2[[#This Row],[codigo_producto]])-1)</f>
        <v>10</v>
      </c>
      <c r="M6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67" spans="1:13" x14ac:dyDescent="0.25">
      <c r="A67" t="s">
        <v>2890</v>
      </c>
      <c r="B67" t="s">
        <v>1736</v>
      </c>
      <c r="C67" t="s">
        <v>1736</v>
      </c>
      <c r="D67">
        <v>29</v>
      </c>
      <c r="E67">
        <v>13</v>
      </c>
      <c r="F67">
        <v>9</v>
      </c>
      <c r="G67">
        <v>12</v>
      </c>
      <c r="H67" t="s">
        <v>2817</v>
      </c>
      <c r="I6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29</v>
      </c>
      <c r="J67" t="s">
        <v>72</v>
      </c>
      <c r="K67" t="str">
        <f>RIGHT(Tabla2[[#This Row],[codigo_producto]],LEN(Tabla2[[#This Row],[codigo_producto]])-FIND("/",Tabla2[[#This Row],[codigo_producto]]))</f>
        <v>6000624</v>
      </c>
      <c r="L67" t="str">
        <f>LEFT(Tabla2[[#This Row],[codigo_producto]],FIND("/",Tabla2[[#This Row],[codigo_producto]])-1)</f>
        <v>10</v>
      </c>
      <c r="M6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68" spans="1:13" x14ac:dyDescent="0.25">
      <c r="A68" t="s">
        <v>2891</v>
      </c>
      <c r="B68" t="s">
        <v>1737</v>
      </c>
      <c r="C68" t="s">
        <v>1737</v>
      </c>
      <c r="D68">
        <v>29</v>
      </c>
      <c r="E68">
        <v>13</v>
      </c>
      <c r="F68">
        <v>9</v>
      </c>
      <c r="G68">
        <v>12</v>
      </c>
      <c r="H68" t="s">
        <v>2817</v>
      </c>
      <c r="I6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29</v>
      </c>
      <c r="J68" t="s">
        <v>73</v>
      </c>
      <c r="K68" t="str">
        <f>RIGHT(Tabla2[[#This Row],[codigo_producto]],LEN(Tabla2[[#This Row],[codigo_producto]])-FIND("/",Tabla2[[#This Row],[codigo_producto]]))</f>
        <v>6000690</v>
      </c>
      <c r="L68" t="str">
        <f>LEFT(Tabla2[[#This Row],[codigo_producto]],FIND("/",Tabla2[[#This Row],[codigo_producto]])-1)</f>
        <v>10</v>
      </c>
      <c r="M6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69" spans="1:13" x14ac:dyDescent="0.25">
      <c r="A69" t="s">
        <v>2892</v>
      </c>
      <c r="B69" t="s">
        <v>1736</v>
      </c>
      <c r="C69" t="s">
        <v>1736</v>
      </c>
      <c r="D69">
        <v>29</v>
      </c>
      <c r="E69">
        <v>13</v>
      </c>
      <c r="F69">
        <v>9</v>
      </c>
      <c r="G69">
        <v>12</v>
      </c>
      <c r="H69" t="s">
        <v>2817</v>
      </c>
      <c r="I6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29</v>
      </c>
      <c r="J69" t="s">
        <v>74</v>
      </c>
      <c r="K69" t="str">
        <f>RIGHT(Tabla2[[#This Row],[codigo_producto]],LEN(Tabla2[[#This Row],[codigo_producto]])-FIND("/",Tabla2[[#This Row],[codigo_producto]]))</f>
        <v>6000691</v>
      </c>
      <c r="L69" t="str">
        <f>LEFT(Tabla2[[#This Row],[codigo_producto]],FIND("/",Tabla2[[#This Row],[codigo_producto]])-1)</f>
        <v>10</v>
      </c>
      <c r="M6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70" spans="1:13" x14ac:dyDescent="0.25">
      <c r="A70" t="s">
        <v>2893</v>
      </c>
      <c r="B70" t="s">
        <v>1738</v>
      </c>
      <c r="C70" t="s">
        <v>1738</v>
      </c>
      <c r="D70">
        <v>29</v>
      </c>
      <c r="E70">
        <v>13</v>
      </c>
      <c r="F70">
        <v>9</v>
      </c>
      <c r="G70">
        <v>12</v>
      </c>
      <c r="H70" t="s">
        <v>2817</v>
      </c>
      <c r="I7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29</v>
      </c>
      <c r="J70" t="s">
        <v>75</v>
      </c>
      <c r="K70" t="str">
        <f>RIGHT(Tabla2[[#This Row],[codigo_producto]],LEN(Tabla2[[#This Row],[codigo_producto]])-FIND("/",Tabla2[[#This Row],[codigo_producto]]))</f>
        <v>6000692</v>
      </c>
      <c r="L70" t="str">
        <f>LEFT(Tabla2[[#This Row],[codigo_producto]],FIND("/",Tabla2[[#This Row],[codigo_producto]])-1)</f>
        <v>10</v>
      </c>
      <c r="M7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71" spans="1:13" x14ac:dyDescent="0.25">
      <c r="A71" t="s">
        <v>2894</v>
      </c>
      <c r="B71" t="s">
        <v>1739</v>
      </c>
      <c r="C71" t="s">
        <v>1739</v>
      </c>
      <c r="D71">
        <v>29</v>
      </c>
      <c r="E71">
        <v>13</v>
      </c>
      <c r="F71">
        <v>9</v>
      </c>
      <c r="G71">
        <v>12</v>
      </c>
      <c r="H71" t="s">
        <v>2817</v>
      </c>
      <c r="I7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29</v>
      </c>
      <c r="J71" t="s">
        <v>76</v>
      </c>
      <c r="K71" t="str">
        <f>RIGHT(Tabla2[[#This Row],[codigo_producto]],LEN(Tabla2[[#This Row],[codigo_producto]])-FIND("/",Tabla2[[#This Row],[codigo_producto]]))</f>
        <v>6000699</v>
      </c>
      <c r="L71" t="str">
        <f>LEFT(Tabla2[[#This Row],[codigo_producto]],FIND("/",Tabla2[[#This Row],[codigo_producto]])-1)</f>
        <v>10</v>
      </c>
      <c r="M7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72" spans="1:13" x14ac:dyDescent="0.25">
      <c r="A72" t="s">
        <v>2895</v>
      </c>
      <c r="B72" t="s">
        <v>1740</v>
      </c>
      <c r="C72" t="s">
        <v>1740</v>
      </c>
      <c r="D72">
        <v>29</v>
      </c>
      <c r="E72">
        <v>13</v>
      </c>
      <c r="F72">
        <v>9</v>
      </c>
      <c r="G72">
        <v>12</v>
      </c>
      <c r="H72" t="s">
        <v>2817</v>
      </c>
      <c r="I7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29</v>
      </c>
      <c r="J72" t="s">
        <v>77</v>
      </c>
      <c r="K72" t="str">
        <f>RIGHT(Tabla2[[#This Row],[codigo_producto]],LEN(Tabla2[[#This Row],[codigo_producto]])-FIND("/",Tabla2[[#This Row],[codigo_producto]]))</f>
        <v>6001031</v>
      </c>
      <c r="L72" t="str">
        <f>LEFT(Tabla2[[#This Row],[codigo_producto]],FIND("/",Tabla2[[#This Row],[codigo_producto]])-1)</f>
        <v>10</v>
      </c>
      <c r="M7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73" spans="1:13" x14ac:dyDescent="0.25">
      <c r="A73" t="s">
        <v>2896</v>
      </c>
      <c r="B73" t="s">
        <v>1741</v>
      </c>
      <c r="C73" t="s">
        <v>1741</v>
      </c>
      <c r="D73">
        <v>29</v>
      </c>
      <c r="E73">
        <v>13</v>
      </c>
      <c r="F73">
        <v>9</v>
      </c>
      <c r="G73">
        <v>12</v>
      </c>
      <c r="H73" t="s">
        <v>2817</v>
      </c>
      <c r="I7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29</v>
      </c>
      <c r="J73" t="s">
        <v>78</v>
      </c>
      <c r="K73" t="str">
        <f>RIGHT(Tabla2[[#This Row],[codigo_producto]],LEN(Tabla2[[#This Row],[codigo_producto]])-FIND("/",Tabla2[[#This Row],[codigo_producto]]))</f>
        <v>6001043</v>
      </c>
      <c r="L73" t="str">
        <f>LEFT(Tabla2[[#This Row],[codigo_producto]],FIND("/",Tabla2[[#This Row],[codigo_producto]])-1)</f>
        <v>10</v>
      </c>
      <c r="M7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74" spans="1:13" x14ac:dyDescent="0.25">
      <c r="A74" t="s">
        <v>2897</v>
      </c>
      <c r="B74" t="s">
        <v>1742</v>
      </c>
      <c r="C74" t="s">
        <v>1742</v>
      </c>
      <c r="D74">
        <v>29</v>
      </c>
      <c r="E74">
        <v>13</v>
      </c>
      <c r="F74">
        <v>9</v>
      </c>
      <c r="G74">
        <v>12</v>
      </c>
      <c r="H74" t="s">
        <v>2817</v>
      </c>
      <c r="I7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29</v>
      </c>
      <c r="J74" t="s">
        <v>79</v>
      </c>
      <c r="K74" t="str">
        <f>RIGHT(Tabla2[[#This Row],[codigo_producto]],LEN(Tabla2[[#This Row],[codigo_producto]])-FIND("/",Tabla2[[#This Row],[codigo_producto]]))</f>
        <v>6001045</v>
      </c>
      <c r="L74" t="str">
        <f>LEFT(Tabla2[[#This Row],[codigo_producto]],FIND("/",Tabla2[[#This Row],[codigo_producto]])-1)</f>
        <v>10</v>
      </c>
      <c r="M7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75" spans="1:13" x14ac:dyDescent="0.25">
      <c r="A75" t="s">
        <v>2898</v>
      </c>
      <c r="B75" t="s">
        <v>1743</v>
      </c>
      <c r="C75" t="s">
        <v>1743</v>
      </c>
      <c r="D75">
        <v>32</v>
      </c>
      <c r="E75">
        <v>13</v>
      </c>
      <c r="F75">
        <v>9</v>
      </c>
      <c r="G75">
        <v>12</v>
      </c>
      <c r="H75" t="s">
        <v>2814</v>
      </c>
      <c r="I7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5" t="s">
        <v>80</v>
      </c>
      <c r="K75" t="str">
        <f>RIGHT(Tabla2[[#This Row],[codigo_producto]],LEN(Tabla2[[#This Row],[codigo_producto]])-FIND("/",Tabla2[[#This Row],[codigo_producto]]))</f>
        <v>6005024</v>
      </c>
      <c r="L75" t="str">
        <f>LEFT(Tabla2[[#This Row],[codigo_producto]],FIND("/",Tabla2[[#This Row],[codigo_producto]])-1)</f>
        <v>10</v>
      </c>
      <c r="M7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76" spans="1:13" x14ac:dyDescent="0.25">
      <c r="A76" t="s">
        <v>2899</v>
      </c>
      <c r="B76" t="s">
        <v>1744</v>
      </c>
      <c r="C76" t="s">
        <v>1744</v>
      </c>
      <c r="D76">
        <v>32</v>
      </c>
      <c r="E76">
        <v>13</v>
      </c>
      <c r="F76">
        <v>9</v>
      </c>
      <c r="G76">
        <v>12</v>
      </c>
      <c r="H76" t="s">
        <v>2814</v>
      </c>
      <c r="I7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6" t="s">
        <v>81</v>
      </c>
      <c r="K76" t="str">
        <f>RIGHT(Tabla2[[#This Row],[codigo_producto]],LEN(Tabla2[[#This Row],[codigo_producto]])-FIND("/",Tabla2[[#This Row],[codigo_producto]]))</f>
        <v>BASECAM</v>
      </c>
      <c r="L76" t="str">
        <f>LEFT(Tabla2[[#This Row],[codigo_producto]],FIND("/",Tabla2[[#This Row],[codigo_producto]])-1)</f>
        <v>10</v>
      </c>
      <c r="M7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77" spans="1:13" x14ac:dyDescent="0.25">
      <c r="A77" t="s">
        <v>2900</v>
      </c>
      <c r="B77" t="s">
        <v>1745</v>
      </c>
      <c r="C77" t="s">
        <v>1745</v>
      </c>
      <c r="D77">
        <v>32</v>
      </c>
      <c r="E77">
        <v>13</v>
      </c>
      <c r="F77">
        <v>9</v>
      </c>
      <c r="G77">
        <v>12</v>
      </c>
      <c r="H77" t="s">
        <v>2814</v>
      </c>
      <c r="I7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7" t="s">
        <v>82</v>
      </c>
      <c r="K77" t="str">
        <f>RIGHT(Tabla2[[#This Row],[codigo_producto]],LEN(Tabla2[[#This Row],[codigo_producto]])-FIND("/",Tabla2[[#This Row],[codigo_producto]]))</f>
        <v>FOCOR5W</v>
      </c>
      <c r="L77" t="str">
        <f>LEFT(Tabla2[[#This Row],[codigo_producto]],FIND("/",Tabla2[[#This Row],[codigo_producto]])-1)</f>
        <v>10</v>
      </c>
      <c r="M7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78" spans="1:13" x14ac:dyDescent="0.25">
      <c r="A78" t="s">
        <v>2901</v>
      </c>
      <c r="B78" t="s">
        <v>1746</v>
      </c>
      <c r="C78" t="s">
        <v>1746</v>
      </c>
      <c r="D78">
        <v>32</v>
      </c>
      <c r="E78">
        <v>13</v>
      </c>
      <c r="F78">
        <v>9</v>
      </c>
      <c r="G78">
        <v>12</v>
      </c>
      <c r="H78" t="s">
        <v>2814</v>
      </c>
      <c r="I7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8" t="s">
        <v>83</v>
      </c>
      <c r="K78" t="str">
        <f>RIGHT(Tabla2[[#This Row],[codigo_producto]],LEN(Tabla2[[#This Row],[codigo_producto]])-FIND("/",Tabla2[[#This Row],[codigo_producto]]))</f>
        <v>LM1976D</v>
      </c>
      <c r="L78" t="str">
        <f>LEFT(Tabla2[[#This Row],[codigo_producto]],FIND("/",Tabla2[[#This Row],[codigo_producto]])-1)</f>
        <v>10</v>
      </c>
      <c r="M7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79" spans="1:13" x14ac:dyDescent="0.25">
      <c r="A79" t="s">
        <v>2902</v>
      </c>
      <c r="B79" t="s">
        <v>1747</v>
      </c>
      <c r="C79" t="s">
        <v>1747</v>
      </c>
      <c r="D79">
        <v>25</v>
      </c>
      <c r="E79">
        <v>13</v>
      </c>
      <c r="F79">
        <v>9</v>
      </c>
      <c r="G79">
        <v>12</v>
      </c>
      <c r="H79" t="s">
        <v>2816</v>
      </c>
      <c r="I7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79" t="s">
        <v>84</v>
      </c>
      <c r="K79" t="str">
        <f>RIGHT(Tabla2[[#This Row],[codigo_producto]],LEN(Tabla2[[#This Row],[codigo_producto]])-FIND("/",Tabla2[[#This Row],[codigo_producto]]))</f>
        <v>MAQ059L</v>
      </c>
      <c r="L79" t="str">
        <f>LEFT(Tabla2[[#This Row],[codigo_producto]],FIND("/",Tabla2[[#This Row],[codigo_producto]])-1)</f>
        <v>10</v>
      </c>
      <c r="M7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80" spans="1:13" x14ac:dyDescent="0.25">
      <c r="A80" t="s">
        <v>2903</v>
      </c>
      <c r="B80" t="s">
        <v>1748</v>
      </c>
      <c r="C80" t="s">
        <v>1748</v>
      </c>
      <c r="D80">
        <v>31</v>
      </c>
      <c r="E80">
        <v>9</v>
      </c>
      <c r="F80">
        <v>9</v>
      </c>
      <c r="G80">
        <v>12</v>
      </c>
      <c r="H80" t="s">
        <v>2818</v>
      </c>
      <c r="I8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80" t="s">
        <v>85</v>
      </c>
      <c r="K80" t="str">
        <f>RIGHT(Tabla2[[#This Row],[codigo_producto]],LEN(Tabla2[[#This Row],[codigo_producto]])-FIND("/",Tabla2[[#This Row],[codigo_producto]]))</f>
        <v>FS20217</v>
      </c>
      <c r="L80" t="str">
        <f>LEFT(Tabla2[[#This Row],[codigo_producto]],FIND("/",Tabla2[[#This Row],[codigo_producto]])-1)</f>
        <v>11</v>
      </c>
      <c r="M8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9</v>
      </c>
    </row>
    <row r="81" spans="1:13" x14ac:dyDescent="0.25">
      <c r="A81" t="s">
        <v>2887</v>
      </c>
      <c r="B81" t="s">
        <v>1749</v>
      </c>
      <c r="C81" t="s">
        <v>1749</v>
      </c>
      <c r="D81">
        <v>31</v>
      </c>
      <c r="E81">
        <v>9</v>
      </c>
      <c r="F81">
        <v>9</v>
      </c>
      <c r="G81">
        <v>12</v>
      </c>
      <c r="H81" t="s">
        <v>2818</v>
      </c>
      <c r="I8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81" t="s">
        <v>86</v>
      </c>
      <c r="K81" t="str">
        <f>RIGHT(Tabla2[[#This Row],[codigo_producto]],LEN(Tabla2[[#This Row],[codigo_producto]])-FIND("/",Tabla2[[#This Row],[codigo_producto]]))</f>
        <v>SHA3211</v>
      </c>
      <c r="L81" t="str">
        <f>LEFT(Tabla2[[#This Row],[codigo_producto]],FIND("/",Tabla2[[#This Row],[codigo_producto]])-1)</f>
        <v>11</v>
      </c>
      <c r="M8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9</v>
      </c>
    </row>
    <row r="82" spans="1:13" x14ac:dyDescent="0.25">
      <c r="A82" t="s">
        <v>2904</v>
      </c>
      <c r="B82" t="s">
        <v>1750</v>
      </c>
      <c r="C82" t="s">
        <v>1750</v>
      </c>
      <c r="D82">
        <v>32</v>
      </c>
      <c r="E82">
        <v>1</v>
      </c>
      <c r="F82">
        <v>9</v>
      </c>
      <c r="G82">
        <v>12</v>
      </c>
      <c r="H82" t="s">
        <v>2814</v>
      </c>
      <c r="I8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2" t="s">
        <v>87</v>
      </c>
      <c r="K82" t="str">
        <f>RIGHT(Tabla2[[#This Row],[codigo_producto]],LEN(Tabla2[[#This Row],[codigo_producto]])-FIND("/",Tabla2[[#This Row],[codigo_producto]]))</f>
        <v>BG109020</v>
      </c>
      <c r="L82" t="str">
        <f>LEFT(Tabla2[[#This Row],[codigo_producto]],FIND("/",Tabla2[[#This Row],[codigo_producto]])-1)</f>
        <v>6</v>
      </c>
      <c r="M8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83" spans="1:13" x14ac:dyDescent="0.25">
      <c r="A83" t="s">
        <v>2905</v>
      </c>
      <c r="B83" t="s">
        <v>1751</v>
      </c>
      <c r="C83" t="s">
        <v>1751</v>
      </c>
      <c r="D83">
        <v>32</v>
      </c>
      <c r="E83">
        <v>1</v>
      </c>
      <c r="F83">
        <v>9</v>
      </c>
      <c r="G83">
        <v>12</v>
      </c>
      <c r="H83" t="s">
        <v>2814</v>
      </c>
      <c r="I8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3" t="s">
        <v>88</v>
      </c>
      <c r="K83" t="str">
        <f>RIGHT(Tabla2[[#This Row],[codigo_producto]],LEN(Tabla2[[#This Row],[codigo_producto]])-FIND("/",Tabla2[[#This Row],[codigo_producto]]))</f>
        <v>K0021600</v>
      </c>
      <c r="L83" t="str">
        <f>LEFT(Tabla2[[#This Row],[codigo_producto]],FIND("/",Tabla2[[#This Row],[codigo_producto]])-1)</f>
        <v>6</v>
      </c>
      <c r="M8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84" spans="1:13" x14ac:dyDescent="0.25">
      <c r="A84" t="s">
        <v>2906</v>
      </c>
      <c r="B84" t="s">
        <v>1733</v>
      </c>
      <c r="C84" t="s">
        <v>1733</v>
      </c>
      <c r="D84">
        <v>32</v>
      </c>
      <c r="E84">
        <v>1</v>
      </c>
      <c r="F84">
        <v>9</v>
      </c>
      <c r="G84">
        <v>12</v>
      </c>
      <c r="H84" t="s">
        <v>2814</v>
      </c>
      <c r="I8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4" t="s">
        <v>89</v>
      </c>
      <c r="K84" t="str">
        <f>RIGHT(Tabla2[[#This Row],[codigo_producto]],LEN(Tabla2[[#This Row],[codigo_producto]])-FIND("/",Tabla2[[#This Row],[codigo_producto]]))</f>
        <v>K0032300</v>
      </c>
      <c r="L84" t="str">
        <f>LEFT(Tabla2[[#This Row],[codigo_producto]],FIND("/",Tabla2[[#This Row],[codigo_producto]])-1)</f>
        <v>6</v>
      </c>
      <c r="M8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85" spans="1:13" x14ac:dyDescent="0.25">
      <c r="A85" t="s">
        <v>2907</v>
      </c>
      <c r="B85" t="s">
        <v>1752</v>
      </c>
      <c r="C85" t="s">
        <v>1752</v>
      </c>
      <c r="D85">
        <v>32</v>
      </c>
      <c r="E85">
        <v>1</v>
      </c>
      <c r="F85">
        <v>9</v>
      </c>
      <c r="G85">
        <v>12</v>
      </c>
      <c r="H85" t="s">
        <v>2814</v>
      </c>
      <c r="I8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5" t="s">
        <v>90</v>
      </c>
      <c r="K85" t="str">
        <f>RIGHT(Tabla2[[#This Row],[codigo_producto]],LEN(Tabla2[[#This Row],[codigo_producto]])-FIND("/",Tabla2[[#This Row],[codigo_producto]]))</f>
        <v>K0050702</v>
      </c>
      <c r="L85" t="str">
        <f>LEFT(Tabla2[[#This Row],[codigo_producto]],FIND("/",Tabla2[[#This Row],[codigo_producto]])-1)</f>
        <v>6</v>
      </c>
      <c r="M8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86" spans="1:13" x14ac:dyDescent="0.25">
      <c r="A86" t="s">
        <v>2908</v>
      </c>
      <c r="B86" t="s">
        <v>1753</v>
      </c>
      <c r="C86" t="s">
        <v>1753</v>
      </c>
      <c r="D86">
        <v>32</v>
      </c>
      <c r="E86">
        <v>1</v>
      </c>
      <c r="F86">
        <v>9</v>
      </c>
      <c r="G86">
        <v>12</v>
      </c>
      <c r="H86" t="s">
        <v>2814</v>
      </c>
      <c r="I8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6" t="s">
        <v>91</v>
      </c>
      <c r="K86" t="str">
        <f>RIGHT(Tabla2[[#This Row],[codigo_producto]],LEN(Tabla2[[#This Row],[codigo_producto]])-FIND("/",Tabla2[[#This Row],[codigo_producto]]))</f>
        <v>K0051500</v>
      </c>
      <c r="L86" t="str">
        <f>LEFT(Tabla2[[#This Row],[codigo_producto]],FIND("/",Tabla2[[#This Row],[codigo_producto]])-1)</f>
        <v>6</v>
      </c>
      <c r="M8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87" spans="1:13" x14ac:dyDescent="0.25">
      <c r="A87" t="s">
        <v>2909</v>
      </c>
      <c r="B87" t="s">
        <v>1754</v>
      </c>
      <c r="C87" t="s">
        <v>1754</v>
      </c>
      <c r="D87">
        <v>32</v>
      </c>
      <c r="E87">
        <v>5</v>
      </c>
      <c r="F87">
        <v>9</v>
      </c>
      <c r="G87">
        <v>12</v>
      </c>
      <c r="H87" t="s">
        <v>2814</v>
      </c>
      <c r="I8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7" t="s">
        <v>92</v>
      </c>
      <c r="K87" t="str">
        <f>RIGHT(Tabla2[[#This Row],[codigo_producto]],LEN(Tabla2[[#This Row],[codigo_producto]])-FIND("/",Tabla2[[#This Row],[codigo_producto]]))</f>
        <v>A01P2010</v>
      </c>
      <c r="L87" t="str">
        <f>LEFT(Tabla2[[#This Row],[codigo_producto]],FIND("/",Tabla2[[#This Row],[codigo_producto]])-1)</f>
        <v>7</v>
      </c>
      <c r="M8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88" spans="1:13" x14ac:dyDescent="0.25">
      <c r="A88" t="s">
        <v>2910</v>
      </c>
      <c r="B88" t="s">
        <v>1755</v>
      </c>
      <c r="C88" t="s">
        <v>1755</v>
      </c>
      <c r="D88">
        <v>32</v>
      </c>
      <c r="E88">
        <v>5</v>
      </c>
      <c r="F88">
        <v>9</v>
      </c>
      <c r="G88">
        <v>12</v>
      </c>
      <c r="H88" t="s">
        <v>2814</v>
      </c>
      <c r="I8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8" t="s">
        <v>93</v>
      </c>
      <c r="K88" t="str">
        <f>RIGHT(Tabla2[[#This Row],[codigo_producto]],LEN(Tabla2[[#This Row],[codigo_producto]])-FIND("/",Tabla2[[#This Row],[codigo_producto]]))</f>
        <v>C3908616</v>
      </c>
      <c r="L88" t="str">
        <f>LEFT(Tabla2[[#This Row],[codigo_producto]],FIND("/",Tabla2[[#This Row],[codigo_producto]])-1)</f>
        <v>7</v>
      </c>
      <c r="M8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89" spans="1:13" x14ac:dyDescent="0.25">
      <c r="A89" t="s">
        <v>2911</v>
      </c>
      <c r="B89" t="s">
        <v>1756</v>
      </c>
      <c r="C89" t="s">
        <v>1756</v>
      </c>
      <c r="D89">
        <v>25</v>
      </c>
      <c r="E89">
        <v>5</v>
      </c>
      <c r="F89">
        <v>9</v>
      </c>
      <c r="G89">
        <v>12</v>
      </c>
      <c r="H89" t="s">
        <v>2816</v>
      </c>
      <c r="I8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89" t="s">
        <v>94</v>
      </c>
      <c r="K89" t="str">
        <f>RIGHT(Tabla2[[#This Row],[codigo_producto]],LEN(Tabla2[[#This Row],[codigo_producto]])-FIND("/",Tabla2[[#This Row],[codigo_producto]]))</f>
        <v>S380W001</v>
      </c>
      <c r="L89" t="str">
        <f>LEFT(Tabla2[[#This Row],[codigo_producto]],FIND("/",Tabla2[[#This Row],[codigo_producto]])-1)</f>
        <v>7</v>
      </c>
      <c r="M8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0" spans="1:13" x14ac:dyDescent="0.25">
      <c r="A90" t="s">
        <v>2912</v>
      </c>
      <c r="B90" t="s">
        <v>1757</v>
      </c>
      <c r="C90" t="s">
        <v>1757</v>
      </c>
      <c r="D90">
        <v>22</v>
      </c>
      <c r="E90">
        <v>8</v>
      </c>
      <c r="F90">
        <v>9</v>
      </c>
      <c r="G90">
        <v>12</v>
      </c>
      <c r="H90" t="s">
        <v>2815</v>
      </c>
      <c r="I9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90" t="s">
        <v>95</v>
      </c>
      <c r="K90" t="str">
        <f>RIGHT(Tabla2[[#This Row],[codigo_producto]],LEN(Tabla2[[#This Row],[codigo_producto]])-FIND("/",Tabla2[[#This Row],[codigo_producto]]))</f>
        <v>KITSEGERT</v>
      </c>
      <c r="L90" t="str">
        <f>LEFT(Tabla2[[#This Row],[codigo_producto]],FIND("/",Tabla2[[#This Row],[codigo_producto]])-1)</f>
        <v>1</v>
      </c>
      <c r="M9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91" spans="1:13" x14ac:dyDescent="0.25">
      <c r="A91" t="s">
        <v>2913</v>
      </c>
      <c r="B91" t="s">
        <v>1758</v>
      </c>
      <c r="C91" t="s">
        <v>1758</v>
      </c>
      <c r="D91">
        <v>32</v>
      </c>
      <c r="E91">
        <v>13</v>
      </c>
      <c r="F91">
        <v>9</v>
      </c>
      <c r="G91">
        <v>12</v>
      </c>
      <c r="H91" t="s">
        <v>2814</v>
      </c>
      <c r="I9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1" t="s">
        <v>96</v>
      </c>
      <c r="K91" t="str">
        <f>RIGHT(Tabla2[[#This Row],[codigo_producto]],LEN(Tabla2[[#This Row],[codigo_producto]])-FIND("/",Tabla2[[#This Row],[codigo_producto]]))</f>
        <v>5262311L</v>
      </c>
      <c r="L91" t="str">
        <f>LEFT(Tabla2[[#This Row],[codigo_producto]],FIND("/",Tabla2[[#This Row],[codigo_producto]])-1)</f>
        <v>10</v>
      </c>
      <c r="M9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92" spans="1:13" x14ac:dyDescent="0.25">
      <c r="A92" t="s">
        <v>2914</v>
      </c>
      <c r="B92" t="s">
        <v>1733</v>
      </c>
      <c r="C92" t="s">
        <v>1733</v>
      </c>
      <c r="D92">
        <v>32</v>
      </c>
      <c r="E92">
        <v>13</v>
      </c>
      <c r="F92">
        <v>9</v>
      </c>
      <c r="G92">
        <v>12</v>
      </c>
      <c r="H92" t="s">
        <v>2814</v>
      </c>
      <c r="I9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2" t="s">
        <v>97</v>
      </c>
      <c r="K92" t="str">
        <f>RIGHT(Tabla2[[#This Row],[codigo_producto]],LEN(Tabla2[[#This Row],[codigo_producto]])-FIND("/",Tabla2[[#This Row],[codigo_producto]]))</f>
        <v>5266016F</v>
      </c>
      <c r="L92" t="str">
        <f>LEFT(Tabla2[[#This Row],[codigo_producto]],FIND("/",Tabla2[[#This Row],[codigo_producto]])-1)</f>
        <v>10</v>
      </c>
      <c r="M9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93" spans="1:13" x14ac:dyDescent="0.25">
      <c r="A93" t="s">
        <v>2915</v>
      </c>
      <c r="B93" t="s">
        <v>1759</v>
      </c>
      <c r="C93" t="s">
        <v>1759</v>
      </c>
      <c r="D93">
        <v>32</v>
      </c>
      <c r="E93">
        <v>13</v>
      </c>
      <c r="F93">
        <v>9</v>
      </c>
      <c r="G93">
        <v>12</v>
      </c>
      <c r="H93" t="s">
        <v>2814</v>
      </c>
      <c r="I9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3" t="s">
        <v>98</v>
      </c>
      <c r="K93" t="str">
        <f>RIGHT(Tabla2[[#This Row],[codigo_producto]],LEN(Tabla2[[#This Row],[codigo_producto]])-FIND("/",Tabla2[[#This Row],[codigo_producto]]))</f>
        <v>60032RC3</v>
      </c>
      <c r="L93" t="str">
        <f>LEFT(Tabla2[[#This Row],[codigo_producto]],FIND("/",Tabla2[[#This Row],[codigo_producto]])-1)</f>
        <v>10</v>
      </c>
      <c r="M9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94" spans="1:13" x14ac:dyDescent="0.25">
      <c r="A94" t="s">
        <v>2916</v>
      </c>
      <c r="B94" t="s">
        <v>1760</v>
      </c>
      <c r="C94" t="s">
        <v>1760</v>
      </c>
      <c r="D94">
        <v>32</v>
      </c>
      <c r="E94">
        <v>13</v>
      </c>
      <c r="F94">
        <v>9</v>
      </c>
      <c r="G94">
        <v>12</v>
      </c>
      <c r="H94" t="s">
        <v>2814</v>
      </c>
      <c r="I9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4" t="s">
        <v>99</v>
      </c>
      <c r="K94" t="str">
        <f>RIGHT(Tabla2[[#This Row],[codigo_producto]],LEN(Tabla2[[#This Row],[codigo_producto]])-FIND("/",Tabla2[[#This Row],[codigo_producto]]))</f>
        <v>DC911768</v>
      </c>
      <c r="L94" t="str">
        <f>LEFT(Tabla2[[#This Row],[codigo_producto]],FIND("/",Tabla2[[#This Row],[codigo_producto]])-1)</f>
        <v>10</v>
      </c>
      <c r="M9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95" spans="1:13" x14ac:dyDescent="0.25">
      <c r="A95" t="s">
        <v>2917</v>
      </c>
      <c r="B95" t="s">
        <v>1761</v>
      </c>
      <c r="C95" t="s">
        <v>1761</v>
      </c>
      <c r="D95">
        <v>32</v>
      </c>
      <c r="E95">
        <v>13</v>
      </c>
      <c r="F95">
        <v>9</v>
      </c>
      <c r="G95">
        <v>12</v>
      </c>
      <c r="H95" t="s">
        <v>2814</v>
      </c>
      <c r="I9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5" t="s">
        <v>100</v>
      </c>
      <c r="K95" t="str">
        <f>RIGHT(Tabla2[[#This Row],[codigo_producto]],LEN(Tabla2[[#This Row],[codigo_producto]])-FIND("/",Tabla2[[#This Row],[codigo_producto]]))</f>
        <v>DC914470</v>
      </c>
      <c r="L95" t="str">
        <f>LEFT(Tabla2[[#This Row],[codigo_producto]],FIND("/",Tabla2[[#This Row],[codigo_producto]])-1)</f>
        <v>10</v>
      </c>
      <c r="M9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96" spans="1:13" x14ac:dyDescent="0.25">
      <c r="A96" t="s">
        <v>2918</v>
      </c>
      <c r="B96" t="s">
        <v>1762</v>
      </c>
      <c r="C96" t="s">
        <v>1762</v>
      </c>
      <c r="D96">
        <v>25</v>
      </c>
      <c r="E96">
        <v>13</v>
      </c>
      <c r="F96">
        <v>9</v>
      </c>
      <c r="G96">
        <v>12</v>
      </c>
      <c r="H96" t="s">
        <v>2816</v>
      </c>
      <c r="I9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96" t="s">
        <v>101</v>
      </c>
      <c r="K96" t="str">
        <f>RIGHT(Tabla2[[#This Row],[codigo_producto]],LEN(Tabla2[[#This Row],[codigo_producto]])-FIND("/",Tabla2[[#This Row],[codigo_producto]]))</f>
        <v>DP535638</v>
      </c>
      <c r="L96" t="str">
        <f>LEFT(Tabla2[[#This Row],[codigo_producto]],FIND("/",Tabla2[[#This Row],[codigo_producto]])-1)</f>
        <v>10</v>
      </c>
      <c r="M9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97" spans="1:13" x14ac:dyDescent="0.25">
      <c r="A97" t="s">
        <v>2919</v>
      </c>
      <c r="B97" t="s">
        <v>1763</v>
      </c>
      <c r="C97" t="s">
        <v>1763</v>
      </c>
      <c r="D97">
        <v>22</v>
      </c>
      <c r="E97">
        <v>13</v>
      </c>
      <c r="F97">
        <v>9</v>
      </c>
      <c r="G97">
        <v>12</v>
      </c>
      <c r="H97" t="s">
        <v>2815</v>
      </c>
      <c r="I9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97" t="s">
        <v>102</v>
      </c>
      <c r="K97" t="str">
        <f>RIGHT(Tabla2[[#This Row],[codigo_producto]],LEN(Tabla2[[#This Row],[codigo_producto]])-FIND("/",Tabla2[[#This Row],[codigo_producto]]))</f>
        <v>DPKS0943</v>
      </c>
      <c r="L97" t="str">
        <f>LEFT(Tabla2[[#This Row],[codigo_producto]],FIND("/",Tabla2[[#This Row],[codigo_producto]])-1)</f>
        <v>10</v>
      </c>
      <c r="M9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98" spans="1:13" x14ac:dyDescent="0.25">
      <c r="A98" t="s">
        <v>2920</v>
      </c>
      <c r="B98" t="s">
        <v>1764</v>
      </c>
      <c r="C98" t="s">
        <v>1764</v>
      </c>
      <c r="D98">
        <v>22</v>
      </c>
      <c r="E98">
        <v>13</v>
      </c>
      <c r="F98">
        <v>9</v>
      </c>
      <c r="G98">
        <v>12</v>
      </c>
      <c r="H98" t="s">
        <v>2815</v>
      </c>
      <c r="I9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98" t="s">
        <v>103</v>
      </c>
      <c r="K98" t="str">
        <f>RIGHT(Tabla2[[#This Row],[codigo_producto]],LEN(Tabla2[[#This Row],[codigo_producto]])-FIND("/",Tabla2[[#This Row],[codigo_producto]]))</f>
        <v>KITSEGDS</v>
      </c>
      <c r="L98" t="str">
        <f>LEFT(Tabla2[[#This Row],[codigo_producto]],FIND("/",Tabla2[[#This Row],[codigo_producto]])-1)</f>
        <v>10</v>
      </c>
      <c r="M9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99" spans="1:13" x14ac:dyDescent="0.25">
      <c r="A99" t="s">
        <v>2921</v>
      </c>
      <c r="B99" t="s">
        <v>1765</v>
      </c>
      <c r="C99" t="s">
        <v>1765</v>
      </c>
      <c r="D99">
        <v>25</v>
      </c>
      <c r="E99">
        <v>13</v>
      </c>
      <c r="F99">
        <v>9</v>
      </c>
      <c r="G99">
        <v>12</v>
      </c>
      <c r="H99" t="s">
        <v>2816</v>
      </c>
      <c r="I9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99" t="s">
        <v>104</v>
      </c>
      <c r="K99" t="str">
        <f>RIGHT(Tabla2[[#This Row],[codigo_producto]],LEN(Tabla2[[#This Row],[codigo_producto]])-FIND("/",Tabla2[[#This Row],[codigo_producto]]))</f>
        <v>LUBULT01</v>
      </c>
      <c r="L99" t="str">
        <f>LEFT(Tabla2[[#This Row],[codigo_producto]],FIND("/",Tabla2[[#This Row],[codigo_producto]])-1)</f>
        <v>10</v>
      </c>
      <c r="M9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00" spans="1:13" x14ac:dyDescent="0.25">
      <c r="A100" t="s">
        <v>2922</v>
      </c>
      <c r="B100" t="s">
        <v>1766</v>
      </c>
      <c r="C100" t="s">
        <v>1766</v>
      </c>
      <c r="D100">
        <v>25</v>
      </c>
      <c r="E100">
        <v>13</v>
      </c>
      <c r="F100">
        <v>9</v>
      </c>
      <c r="G100">
        <v>12</v>
      </c>
      <c r="H100" t="s">
        <v>2816</v>
      </c>
      <c r="I10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100" t="s">
        <v>105</v>
      </c>
      <c r="K100" t="str">
        <f>RIGHT(Tabla2[[#This Row],[codigo_producto]],LEN(Tabla2[[#This Row],[codigo_producto]])-FIND("/",Tabla2[[#This Row],[codigo_producto]]))</f>
        <v>LUBULT04</v>
      </c>
      <c r="L100" t="str">
        <f>LEFT(Tabla2[[#This Row],[codigo_producto]],FIND("/",Tabla2[[#This Row],[codigo_producto]])-1)</f>
        <v>10</v>
      </c>
      <c r="M10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01" spans="1:13" x14ac:dyDescent="0.25">
      <c r="A101" t="s">
        <v>2923</v>
      </c>
      <c r="B101" t="s">
        <v>1766</v>
      </c>
      <c r="C101" t="s">
        <v>1766</v>
      </c>
      <c r="D101">
        <v>25</v>
      </c>
      <c r="E101">
        <v>13</v>
      </c>
      <c r="F101">
        <v>9</v>
      </c>
      <c r="G101">
        <v>12</v>
      </c>
      <c r="H101" t="s">
        <v>2816</v>
      </c>
      <c r="I10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101" t="s">
        <v>106</v>
      </c>
      <c r="K101" t="str">
        <f>RIGHT(Tabla2[[#This Row],[codigo_producto]],LEN(Tabla2[[#This Row],[codigo_producto]])-FIND("/",Tabla2[[#This Row],[codigo_producto]]))</f>
        <v>LUBULT05</v>
      </c>
      <c r="L101" t="str">
        <f>LEFT(Tabla2[[#This Row],[codigo_producto]],FIND("/",Tabla2[[#This Row],[codigo_producto]])-1)</f>
        <v>10</v>
      </c>
      <c r="M10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02" spans="1:13" x14ac:dyDescent="0.25">
      <c r="A102" t="s">
        <v>2924</v>
      </c>
      <c r="B102" t="s">
        <v>1767</v>
      </c>
      <c r="C102" t="s">
        <v>1767</v>
      </c>
      <c r="D102">
        <v>25</v>
      </c>
      <c r="E102">
        <v>13</v>
      </c>
      <c r="F102">
        <v>9</v>
      </c>
      <c r="G102">
        <v>12</v>
      </c>
      <c r="H102" t="s">
        <v>2816</v>
      </c>
      <c r="I10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102" t="s">
        <v>107</v>
      </c>
      <c r="K102" t="str">
        <f>RIGHT(Tabla2[[#This Row],[codigo_producto]],LEN(Tabla2[[#This Row],[codigo_producto]])-FIND("/",Tabla2[[#This Row],[codigo_producto]]))</f>
        <v>LUBULT07</v>
      </c>
      <c r="L102" t="str">
        <f>LEFT(Tabla2[[#This Row],[codigo_producto]],FIND("/",Tabla2[[#This Row],[codigo_producto]])-1)</f>
        <v>10</v>
      </c>
      <c r="M10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03" spans="1:13" x14ac:dyDescent="0.25">
      <c r="A103" t="s">
        <v>2925</v>
      </c>
      <c r="B103" t="s">
        <v>1767</v>
      </c>
      <c r="C103" t="s">
        <v>1767</v>
      </c>
      <c r="D103">
        <v>25</v>
      </c>
      <c r="E103">
        <v>13</v>
      </c>
      <c r="F103">
        <v>9</v>
      </c>
      <c r="G103">
        <v>12</v>
      </c>
      <c r="H103" t="s">
        <v>2816</v>
      </c>
      <c r="I10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103" t="s">
        <v>108</v>
      </c>
      <c r="K103" t="str">
        <f>RIGHT(Tabla2[[#This Row],[codigo_producto]],LEN(Tabla2[[#This Row],[codigo_producto]])-FIND("/",Tabla2[[#This Row],[codigo_producto]]))</f>
        <v>LUBULT08</v>
      </c>
      <c r="L103" t="str">
        <f>LEFT(Tabla2[[#This Row],[codigo_producto]],FIND("/",Tabla2[[#This Row],[codigo_producto]])-1)</f>
        <v>10</v>
      </c>
      <c r="M10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04" spans="1:13" x14ac:dyDescent="0.25">
      <c r="A104" t="s">
        <v>2926</v>
      </c>
      <c r="B104" t="s">
        <v>1768</v>
      </c>
      <c r="C104" t="s">
        <v>1768</v>
      </c>
      <c r="D104">
        <v>25</v>
      </c>
      <c r="E104">
        <v>13</v>
      </c>
      <c r="F104">
        <v>9</v>
      </c>
      <c r="G104">
        <v>12</v>
      </c>
      <c r="H104" t="s">
        <v>2816</v>
      </c>
      <c r="I10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104" t="s">
        <v>109</v>
      </c>
      <c r="K104" t="str">
        <f>RIGHT(Tabla2[[#This Row],[codigo_producto]],LEN(Tabla2[[#This Row],[codigo_producto]])-FIND("/",Tabla2[[#This Row],[codigo_producto]]))</f>
        <v>LUBULT10</v>
      </c>
      <c r="L104" t="str">
        <f>LEFT(Tabla2[[#This Row],[codigo_producto]],FIND("/",Tabla2[[#This Row],[codigo_producto]])-1)</f>
        <v>10</v>
      </c>
      <c r="M10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05" spans="1:13" x14ac:dyDescent="0.25">
      <c r="A105" t="s">
        <v>2927</v>
      </c>
      <c r="B105" t="s">
        <v>1769</v>
      </c>
      <c r="C105" t="s">
        <v>1769</v>
      </c>
      <c r="D105">
        <v>25</v>
      </c>
      <c r="E105">
        <v>13</v>
      </c>
      <c r="F105">
        <v>9</v>
      </c>
      <c r="G105">
        <v>12</v>
      </c>
      <c r="H105" t="s">
        <v>2816</v>
      </c>
      <c r="I10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105" t="s">
        <v>110</v>
      </c>
      <c r="K105" t="str">
        <f>RIGHT(Tabla2[[#This Row],[codigo_producto]],LEN(Tabla2[[#This Row],[codigo_producto]])-FIND("/",Tabla2[[#This Row],[codigo_producto]]))</f>
        <v>LUBULT11</v>
      </c>
      <c r="L105" t="str">
        <f>LEFT(Tabla2[[#This Row],[codigo_producto]],FIND("/",Tabla2[[#This Row],[codigo_producto]])-1)</f>
        <v>10</v>
      </c>
      <c r="M10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06" spans="1:13" x14ac:dyDescent="0.25">
      <c r="A106" t="s">
        <v>2928</v>
      </c>
      <c r="B106" t="s">
        <v>1770</v>
      </c>
      <c r="C106" t="s">
        <v>1770</v>
      </c>
      <c r="D106">
        <v>25</v>
      </c>
      <c r="E106">
        <v>13</v>
      </c>
      <c r="F106">
        <v>9</v>
      </c>
      <c r="G106">
        <v>12</v>
      </c>
      <c r="H106" t="s">
        <v>2816</v>
      </c>
      <c r="I10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106" t="s">
        <v>111</v>
      </c>
      <c r="K106" t="str">
        <f>RIGHT(Tabla2[[#This Row],[codigo_producto]],LEN(Tabla2[[#This Row],[codigo_producto]])-FIND("/",Tabla2[[#This Row],[codigo_producto]]))</f>
        <v>LUBULT15</v>
      </c>
      <c r="L106" t="str">
        <f>LEFT(Tabla2[[#This Row],[codigo_producto]],FIND("/",Tabla2[[#This Row],[codigo_producto]])-1)</f>
        <v>10</v>
      </c>
      <c r="M10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07" spans="1:13" x14ac:dyDescent="0.25">
      <c r="A107" t="s">
        <v>2929</v>
      </c>
      <c r="B107" t="s">
        <v>1771</v>
      </c>
      <c r="C107" t="s">
        <v>1771</v>
      </c>
      <c r="D107">
        <v>25</v>
      </c>
      <c r="E107">
        <v>13</v>
      </c>
      <c r="F107">
        <v>9</v>
      </c>
      <c r="G107">
        <v>12</v>
      </c>
      <c r="H107" t="s">
        <v>2816</v>
      </c>
      <c r="I10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107" t="s">
        <v>112</v>
      </c>
      <c r="K107" t="str">
        <f>RIGHT(Tabla2[[#This Row],[codigo_producto]],LEN(Tabla2[[#This Row],[codigo_producto]])-FIND("/",Tabla2[[#This Row],[codigo_producto]]))</f>
        <v>LUBULT16</v>
      </c>
      <c r="L107" t="str">
        <f>LEFT(Tabla2[[#This Row],[codigo_producto]],FIND("/",Tabla2[[#This Row],[codigo_producto]])-1)</f>
        <v>10</v>
      </c>
      <c r="M10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08" spans="1:13" x14ac:dyDescent="0.25">
      <c r="A108" t="s">
        <v>2930</v>
      </c>
      <c r="B108" t="s">
        <v>1772</v>
      </c>
      <c r="C108" t="s">
        <v>1772</v>
      </c>
      <c r="D108">
        <v>25</v>
      </c>
      <c r="E108">
        <v>13</v>
      </c>
      <c r="F108">
        <v>9</v>
      </c>
      <c r="G108">
        <v>12</v>
      </c>
      <c r="H108" t="s">
        <v>2816</v>
      </c>
      <c r="I10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108" t="s">
        <v>113</v>
      </c>
      <c r="K108" t="str">
        <f>RIGHT(Tabla2[[#This Row],[codigo_producto]],LEN(Tabla2[[#This Row],[codigo_producto]])-FIND("/",Tabla2[[#This Row],[codigo_producto]]))</f>
        <v>LUBULT17</v>
      </c>
      <c r="L108" t="str">
        <f>LEFT(Tabla2[[#This Row],[codigo_producto]],FIND("/",Tabla2[[#This Row],[codigo_producto]])-1)</f>
        <v>10</v>
      </c>
      <c r="M10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09" spans="1:13" x14ac:dyDescent="0.25">
      <c r="A109" t="s">
        <v>2931</v>
      </c>
      <c r="B109" t="s">
        <v>1773</v>
      </c>
      <c r="C109" t="s">
        <v>1773</v>
      </c>
      <c r="D109">
        <v>25</v>
      </c>
      <c r="E109">
        <v>13</v>
      </c>
      <c r="F109">
        <v>9</v>
      </c>
      <c r="G109">
        <v>12</v>
      </c>
      <c r="H109" t="s">
        <v>2816</v>
      </c>
      <c r="I10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109" t="s">
        <v>114</v>
      </c>
      <c r="K109" t="str">
        <f>RIGHT(Tabla2[[#This Row],[codigo_producto]],LEN(Tabla2[[#This Row],[codigo_producto]])-FIND("/",Tabla2[[#This Row],[codigo_producto]]))</f>
        <v>LUBULT18</v>
      </c>
      <c r="L109" t="str">
        <f>LEFT(Tabla2[[#This Row],[codigo_producto]],FIND("/",Tabla2[[#This Row],[codigo_producto]])-1)</f>
        <v>10</v>
      </c>
      <c r="M10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10" spans="1:13" x14ac:dyDescent="0.25">
      <c r="A110" t="s">
        <v>2932</v>
      </c>
      <c r="B110" t="s">
        <v>1774</v>
      </c>
      <c r="C110" t="s">
        <v>1774</v>
      </c>
      <c r="D110">
        <v>25</v>
      </c>
      <c r="E110">
        <v>13</v>
      </c>
      <c r="F110">
        <v>9</v>
      </c>
      <c r="G110">
        <v>12</v>
      </c>
      <c r="H110" t="s">
        <v>2816</v>
      </c>
      <c r="I11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110" t="s">
        <v>115</v>
      </c>
      <c r="K110" t="str">
        <f>RIGHT(Tabla2[[#This Row],[codigo_producto]],LEN(Tabla2[[#This Row],[codigo_producto]])-FIND("/",Tabla2[[#This Row],[codigo_producto]]))</f>
        <v>LUBULT26</v>
      </c>
      <c r="L110" t="str">
        <f>LEFT(Tabla2[[#This Row],[codigo_producto]],FIND("/",Tabla2[[#This Row],[codigo_producto]])-1)</f>
        <v>10</v>
      </c>
      <c r="M11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11" spans="1:13" x14ac:dyDescent="0.25">
      <c r="A111" t="s">
        <v>2933</v>
      </c>
      <c r="B111" t="s">
        <v>1775</v>
      </c>
      <c r="C111" t="s">
        <v>1775</v>
      </c>
      <c r="D111">
        <v>25</v>
      </c>
      <c r="E111">
        <v>13</v>
      </c>
      <c r="F111">
        <v>9</v>
      </c>
      <c r="G111">
        <v>12</v>
      </c>
      <c r="H111" t="s">
        <v>2816</v>
      </c>
      <c r="I11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111" t="s">
        <v>116</v>
      </c>
      <c r="K111" t="str">
        <f>RIGHT(Tabla2[[#This Row],[codigo_producto]],LEN(Tabla2[[#This Row],[codigo_producto]])-FIND("/",Tabla2[[#This Row],[codigo_producto]]))</f>
        <v>LUBULT30</v>
      </c>
      <c r="L111" t="str">
        <f>LEFT(Tabla2[[#This Row],[codigo_producto]],FIND("/",Tabla2[[#This Row],[codigo_producto]])-1)</f>
        <v>10</v>
      </c>
      <c r="M11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12" spans="1:13" x14ac:dyDescent="0.25">
      <c r="A112" t="s">
        <v>2934</v>
      </c>
      <c r="B112" t="s">
        <v>1776</v>
      </c>
      <c r="C112" t="s">
        <v>1776</v>
      </c>
      <c r="D112">
        <v>25</v>
      </c>
      <c r="E112">
        <v>13</v>
      </c>
      <c r="F112">
        <v>9</v>
      </c>
      <c r="G112">
        <v>12</v>
      </c>
      <c r="H112" t="s">
        <v>2816</v>
      </c>
      <c r="I11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112" t="s">
        <v>117</v>
      </c>
      <c r="K112" t="str">
        <f>RIGHT(Tabla2[[#This Row],[codigo_producto]],LEN(Tabla2[[#This Row],[codigo_producto]])-FIND("/",Tabla2[[#This Row],[codigo_producto]]))</f>
        <v>LUBULT32</v>
      </c>
      <c r="L112" t="str">
        <f>LEFT(Tabla2[[#This Row],[codigo_producto]],FIND("/",Tabla2[[#This Row],[codigo_producto]])-1)</f>
        <v>10</v>
      </c>
      <c r="M11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13" spans="1:13" x14ac:dyDescent="0.25">
      <c r="A113" t="s">
        <v>2935</v>
      </c>
      <c r="B113" t="s">
        <v>1777</v>
      </c>
      <c r="C113" t="s">
        <v>1777</v>
      </c>
      <c r="D113">
        <v>23</v>
      </c>
      <c r="E113">
        <v>13</v>
      </c>
      <c r="F113">
        <v>9</v>
      </c>
      <c r="G113">
        <v>12</v>
      </c>
      <c r="H113" t="s">
        <v>2819</v>
      </c>
      <c r="I11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23</v>
      </c>
      <c r="J113" t="s">
        <v>118</v>
      </c>
      <c r="K113" t="str">
        <f>RIGHT(Tabla2[[#This Row],[codigo_producto]],LEN(Tabla2[[#This Row],[codigo_producto]])-FIND("/",Tabla2[[#This Row],[codigo_producto]]))</f>
        <v>MF55D23L</v>
      </c>
      <c r="L113" t="str">
        <f>LEFT(Tabla2[[#This Row],[codigo_producto]],FIND("/",Tabla2[[#This Row],[codigo_producto]])-1)</f>
        <v>10</v>
      </c>
      <c r="M11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14" spans="1:13" x14ac:dyDescent="0.25">
      <c r="A114" t="s">
        <v>2936</v>
      </c>
      <c r="B114" t="s">
        <v>1778</v>
      </c>
      <c r="C114" t="s">
        <v>1778</v>
      </c>
      <c r="D114">
        <v>32</v>
      </c>
      <c r="E114">
        <v>13</v>
      </c>
      <c r="F114">
        <v>9</v>
      </c>
      <c r="G114">
        <v>12</v>
      </c>
      <c r="H114" t="s">
        <v>2814</v>
      </c>
      <c r="I11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4" t="s">
        <v>119</v>
      </c>
      <c r="K114" t="str">
        <f>RIGHT(Tabla2[[#This Row],[codigo_producto]],LEN(Tabla2[[#This Row],[codigo_producto]])-FIND("/",Tabla2[[#This Row],[codigo_producto]]))</f>
        <v>PREST48Z</v>
      </c>
      <c r="L114" t="str">
        <f>LEFT(Tabla2[[#This Row],[codigo_producto]],FIND("/",Tabla2[[#This Row],[codigo_producto]])-1)</f>
        <v>10</v>
      </c>
      <c r="M11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15" spans="1:13" x14ac:dyDescent="0.25">
      <c r="A115" t="s">
        <v>2913</v>
      </c>
      <c r="B115" t="s">
        <v>1779</v>
      </c>
      <c r="C115" t="s">
        <v>1779</v>
      </c>
      <c r="D115">
        <v>32</v>
      </c>
      <c r="E115">
        <v>9</v>
      </c>
      <c r="F115">
        <v>9</v>
      </c>
      <c r="G115">
        <v>12</v>
      </c>
      <c r="H115" t="s">
        <v>2814</v>
      </c>
      <c r="I11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5" t="s">
        <v>120</v>
      </c>
      <c r="K115" t="str">
        <f>RIGHT(Tabla2[[#This Row],[codigo_producto]],LEN(Tabla2[[#This Row],[codigo_producto]])-FIND("/",Tabla2[[#This Row],[codigo_producto]]))</f>
        <v>5262311L</v>
      </c>
      <c r="L115" t="str">
        <f>LEFT(Tabla2[[#This Row],[codigo_producto]],FIND("/",Tabla2[[#This Row],[codigo_producto]])-1)</f>
        <v>11</v>
      </c>
      <c r="M11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9</v>
      </c>
    </row>
    <row r="116" spans="1:13" x14ac:dyDescent="0.25">
      <c r="A116" t="s">
        <v>2937</v>
      </c>
      <c r="B116" t="s">
        <v>1780</v>
      </c>
      <c r="C116" t="s">
        <v>1780</v>
      </c>
      <c r="D116">
        <v>32</v>
      </c>
      <c r="E116">
        <v>6</v>
      </c>
      <c r="F116">
        <v>9</v>
      </c>
      <c r="G116">
        <v>12</v>
      </c>
      <c r="H116" t="s">
        <v>2814</v>
      </c>
      <c r="I11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6" t="s">
        <v>121</v>
      </c>
      <c r="K116" t="str">
        <f>RIGHT(Tabla2[[#This Row],[codigo_producto]],LEN(Tabla2[[#This Row],[codigo_producto]])-FIND("/",Tabla2[[#This Row],[codigo_producto]]))</f>
        <v>1D001518X</v>
      </c>
      <c r="L116" t="str">
        <f>LEFT(Tabla2[[#This Row],[codigo_producto]],FIND("/",Tabla2[[#This Row],[codigo_producto]])-1)</f>
        <v>2</v>
      </c>
      <c r="M11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17" spans="1:13" x14ac:dyDescent="0.25">
      <c r="A117" t="s">
        <v>2938</v>
      </c>
      <c r="B117" t="s">
        <v>1781</v>
      </c>
      <c r="C117" t="s">
        <v>1781</v>
      </c>
      <c r="D117">
        <v>32</v>
      </c>
      <c r="E117">
        <v>6</v>
      </c>
      <c r="F117">
        <v>9</v>
      </c>
      <c r="G117">
        <v>12</v>
      </c>
      <c r="H117" t="s">
        <v>2814</v>
      </c>
      <c r="I11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7" t="s">
        <v>122</v>
      </c>
      <c r="K117" t="str">
        <f>RIGHT(Tabla2[[#This Row],[codigo_producto]],LEN(Tabla2[[#This Row],[codigo_producto]])-FIND("/",Tabla2[[#This Row],[codigo_producto]]))</f>
        <v>1D001518Y</v>
      </c>
      <c r="L117" t="str">
        <f>LEFT(Tabla2[[#This Row],[codigo_producto]],FIND("/",Tabla2[[#This Row],[codigo_producto]])-1)</f>
        <v>2</v>
      </c>
      <c r="M11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18" spans="1:13" x14ac:dyDescent="0.25">
      <c r="A118" t="s">
        <v>2939</v>
      </c>
      <c r="B118" t="s">
        <v>1782</v>
      </c>
      <c r="C118" t="s">
        <v>1782</v>
      </c>
      <c r="D118">
        <v>32</v>
      </c>
      <c r="E118">
        <v>6</v>
      </c>
      <c r="F118">
        <v>9</v>
      </c>
      <c r="G118">
        <v>12</v>
      </c>
      <c r="H118" t="s">
        <v>2814</v>
      </c>
      <c r="I11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8" t="s">
        <v>123</v>
      </c>
      <c r="K118" t="str">
        <f>RIGHT(Tabla2[[#This Row],[codigo_producto]],LEN(Tabla2[[#This Row],[codigo_producto]])-FIND("/",Tabla2[[#This Row],[codigo_producto]]))</f>
        <v>1D0018221</v>
      </c>
      <c r="L118" t="str">
        <f>LEFT(Tabla2[[#This Row],[codigo_producto]],FIND("/",Tabla2[[#This Row],[codigo_producto]])-1)</f>
        <v>2</v>
      </c>
      <c r="M11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19" spans="1:13" x14ac:dyDescent="0.25">
      <c r="A119" t="s">
        <v>2940</v>
      </c>
      <c r="B119" t="s">
        <v>1783</v>
      </c>
      <c r="C119" t="s">
        <v>1783</v>
      </c>
      <c r="D119">
        <v>32</v>
      </c>
      <c r="E119">
        <v>6</v>
      </c>
      <c r="F119">
        <v>9</v>
      </c>
      <c r="G119">
        <v>12</v>
      </c>
      <c r="H119" t="s">
        <v>2814</v>
      </c>
      <c r="I11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9" t="s">
        <v>124</v>
      </c>
      <c r="K119" t="str">
        <f>RIGHT(Tabla2[[#This Row],[codigo_producto]],LEN(Tabla2[[#This Row],[codigo_producto]])-FIND("/",Tabla2[[#This Row],[codigo_producto]]))</f>
        <v>1D0027YA4</v>
      </c>
      <c r="L119" t="str">
        <f>LEFT(Tabla2[[#This Row],[codigo_producto]],FIND("/",Tabla2[[#This Row],[codigo_producto]])-1)</f>
        <v>2</v>
      </c>
      <c r="M11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20" spans="1:13" x14ac:dyDescent="0.25">
      <c r="A120" t="s">
        <v>2941</v>
      </c>
      <c r="B120" t="s">
        <v>1784</v>
      </c>
      <c r="C120" t="s">
        <v>1784</v>
      </c>
      <c r="D120">
        <v>32</v>
      </c>
      <c r="E120">
        <v>6</v>
      </c>
      <c r="F120">
        <v>9</v>
      </c>
      <c r="G120">
        <v>12</v>
      </c>
      <c r="H120" t="s">
        <v>2814</v>
      </c>
      <c r="I12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0" t="s">
        <v>125</v>
      </c>
      <c r="K120" t="str">
        <f>RIGHT(Tabla2[[#This Row],[codigo_producto]],LEN(Tabla2[[#This Row],[codigo_producto]])-FIND("/",Tabla2[[#This Row],[codigo_producto]]))</f>
        <v>1D006124Y</v>
      </c>
      <c r="L120" t="str">
        <f>LEFT(Tabla2[[#This Row],[codigo_producto]],FIND("/",Tabla2[[#This Row],[codigo_producto]])-1)</f>
        <v>2</v>
      </c>
      <c r="M12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21" spans="1:13" x14ac:dyDescent="0.25">
      <c r="A121" t="s">
        <v>2942</v>
      </c>
      <c r="B121" t="s">
        <v>1785</v>
      </c>
      <c r="C121" t="s">
        <v>1785</v>
      </c>
      <c r="D121">
        <v>32</v>
      </c>
      <c r="E121">
        <v>6</v>
      </c>
      <c r="F121">
        <v>9</v>
      </c>
      <c r="G121">
        <v>12</v>
      </c>
      <c r="H121" t="s">
        <v>2814</v>
      </c>
      <c r="I12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1" t="s">
        <v>126</v>
      </c>
      <c r="K121" t="str">
        <f>RIGHT(Tabla2[[#This Row],[codigo_producto]],LEN(Tabla2[[#This Row],[codigo_producto]])-FIND("/",Tabla2[[#This Row],[codigo_producto]]))</f>
        <v>1D011518Y</v>
      </c>
      <c r="L121" t="str">
        <f>LEFT(Tabla2[[#This Row],[codigo_producto]],FIND("/",Tabla2[[#This Row],[codigo_producto]])-1)</f>
        <v>2</v>
      </c>
      <c r="M12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22" spans="1:13" x14ac:dyDescent="0.25">
      <c r="A122" t="s">
        <v>2943</v>
      </c>
      <c r="B122" t="s">
        <v>1786</v>
      </c>
      <c r="C122" t="s">
        <v>1786</v>
      </c>
      <c r="D122">
        <v>32</v>
      </c>
      <c r="E122">
        <v>6</v>
      </c>
      <c r="F122">
        <v>9</v>
      </c>
      <c r="G122">
        <v>12</v>
      </c>
      <c r="H122" t="s">
        <v>2814</v>
      </c>
      <c r="I12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2" t="s">
        <v>127</v>
      </c>
      <c r="K122" t="str">
        <f>RIGHT(Tabla2[[#This Row],[codigo_producto]],LEN(Tabla2[[#This Row],[codigo_producto]])-FIND("/",Tabla2[[#This Row],[codigo_producto]]))</f>
        <v>1D0115YG0</v>
      </c>
      <c r="L122" t="str">
        <f>LEFT(Tabla2[[#This Row],[codigo_producto]],FIND("/",Tabla2[[#This Row],[codigo_producto]])-1)</f>
        <v>2</v>
      </c>
      <c r="M12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23" spans="1:13" x14ac:dyDescent="0.25">
      <c r="A123" t="s">
        <v>2944</v>
      </c>
      <c r="B123" t="s">
        <v>1780</v>
      </c>
      <c r="C123" t="s">
        <v>1780</v>
      </c>
      <c r="D123">
        <v>32</v>
      </c>
      <c r="E123">
        <v>6</v>
      </c>
      <c r="F123">
        <v>9</v>
      </c>
      <c r="G123">
        <v>12</v>
      </c>
      <c r="H123" t="s">
        <v>2814</v>
      </c>
      <c r="I12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3" t="s">
        <v>128</v>
      </c>
      <c r="K123" t="str">
        <f>RIGHT(Tabla2[[#This Row],[codigo_producto]],LEN(Tabla2[[#This Row],[codigo_producto]])-FIND("/",Tabla2[[#This Row],[codigo_producto]]))</f>
        <v>1D021518X</v>
      </c>
      <c r="L123" t="str">
        <f>LEFT(Tabla2[[#This Row],[codigo_producto]],FIND("/",Tabla2[[#This Row],[codigo_producto]])-1)</f>
        <v>2</v>
      </c>
      <c r="M12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24" spans="1:13" x14ac:dyDescent="0.25">
      <c r="A124" t="s">
        <v>2945</v>
      </c>
      <c r="B124" t="s">
        <v>1787</v>
      </c>
      <c r="C124" t="s">
        <v>1787</v>
      </c>
      <c r="D124">
        <v>32</v>
      </c>
      <c r="E124">
        <v>6</v>
      </c>
      <c r="F124">
        <v>9</v>
      </c>
      <c r="G124">
        <v>12</v>
      </c>
      <c r="H124" t="s">
        <v>2814</v>
      </c>
      <c r="I12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4" t="s">
        <v>129</v>
      </c>
      <c r="K124" t="str">
        <f>RIGHT(Tabla2[[#This Row],[codigo_producto]],LEN(Tabla2[[#This Row],[codigo_producto]])-FIND("/",Tabla2[[#This Row],[codigo_producto]]))</f>
        <v>1D0216510</v>
      </c>
      <c r="L124" t="str">
        <f>LEFT(Tabla2[[#This Row],[codigo_producto]],FIND("/",Tabla2[[#This Row],[codigo_producto]])-1)</f>
        <v>2</v>
      </c>
      <c r="M12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25" spans="1:13" x14ac:dyDescent="0.25">
      <c r="A125" t="s">
        <v>2946</v>
      </c>
      <c r="B125" t="s">
        <v>1788</v>
      </c>
      <c r="C125" t="s">
        <v>1788</v>
      </c>
      <c r="D125">
        <v>32</v>
      </c>
      <c r="E125">
        <v>6</v>
      </c>
      <c r="F125">
        <v>9</v>
      </c>
      <c r="G125">
        <v>12</v>
      </c>
      <c r="H125" t="s">
        <v>2814</v>
      </c>
      <c r="I12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5" t="s">
        <v>130</v>
      </c>
      <c r="K125" t="str">
        <f>RIGHT(Tabla2[[#This Row],[codigo_producto]],LEN(Tabla2[[#This Row],[codigo_producto]])-FIND("/",Tabla2[[#This Row],[codigo_producto]]))</f>
        <v>1D0415260</v>
      </c>
      <c r="L125" t="str">
        <f>LEFT(Tabla2[[#This Row],[codigo_producto]],FIND("/",Tabla2[[#This Row],[codigo_producto]])-1)</f>
        <v>2</v>
      </c>
      <c r="M12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26" spans="1:13" x14ac:dyDescent="0.25">
      <c r="A126" t="s">
        <v>2947</v>
      </c>
      <c r="B126" t="s">
        <v>1789</v>
      </c>
      <c r="C126" t="s">
        <v>1789</v>
      </c>
      <c r="D126">
        <v>32</v>
      </c>
      <c r="E126">
        <v>6</v>
      </c>
      <c r="F126">
        <v>9</v>
      </c>
      <c r="G126">
        <v>12</v>
      </c>
      <c r="H126" t="s">
        <v>2814</v>
      </c>
      <c r="I12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6" t="s">
        <v>131</v>
      </c>
      <c r="K126" t="str">
        <f>RIGHT(Tabla2[[#This Row],[codigo_producto]],LEN(Tabla2[[#This Row],[codigo_producto]])-FIND("/",Tabla2[[#This Row],[codigo_producto]]))</f>
        <v>1D0434210</v>
      </c>
      <c r="L126" t="str">
        <f>LEFT(Tabla2[[#This Row],[codigo_producto]],FIND("/",Tabla2[[#This Row],[codigo_producto]])-1)</f>
        <v>2</v>
      </c>
      <c r="M12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27" spans="1:13" x14ac:dyDescent="0.25">
      <c r="A127" t="s">
        <v>2948</v>
      </c>
      <c r="B127" t="s">
        <v>1790</v>
      </c>
      <c r="C127" t="s">
        <v>1790</v>
      </c>
      <c r="D127">
        <v>32</v>
      </c>
      <c r="E127">
        <v>6</v>
      </c>
      <c r="F127">
        <v>9</v>
      </c>
      <c r="G127">
        <v>12</v>
      </c>
      <c r="H127" t="s">
        <v>2814</v>
      </c>
      <c r="I12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7" t="s">
        <v>132</v>
      </c>
      <c r="K127" t="str">
        <f>RIGHT(Tabla2[[#This Row],[codigo_producto]],LEN(Tabla2[[#This Row],[codigo_producto]])-FIND("/",Tabla2[[#This Row],[codigo_producto]]))</f>
        <v>1D0434260</v>
      </c>
      <c r="L127" t="str">
        <f>LEFT(Tabla2[[#This Row],[codigo_producto]],FIND("/",Tabla2[[#This Row],[codigo_producto]])-1)</f>
        <v>2</v>
      </c>
      <c r="M12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28" spans="1:13" x14ac:dyDescent="0.25">
      <c r="A128" t="s">
        <v>2949</v>
      </c>
      <c r="B128" t="s">
        <v>1791</v>
      </c>
      <c r="C128" t="s">
        <v>1791</v>
      </c>
      <c r="D128">
        <v>32</v>
      </c>
      <c r="E128">
        <v>6</v>
      </c>
      <c r="F128">
        <v>9</v>
      </c>
      <c r="G128">
        <v>12</v>
      </c>
      <c r="H128" t="s">
        <v>2814</v>
      </c>
      <c r="I12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8" t="s">
        <v>133</v>
      </c>
      <c r="K128" t="str">
        <f>RIGHT(Tabla2[[#This Row],[codigo_producto]],LEN(Tabla2[[#This Row],[codigo_producto]])-FIND("/",Tabla2[[#This Row],[codigo_producto]]))</f>
        <v>1D0534300</v>
      </c>
      <c r="L128" t="str">
        <f>LEFT(Tabla2[[#This Row],[codigo_producto]],FIND("/",Tabla2[[#This Row],[codigo_producto]])-1)</f>
        <v>2</v>
      </c>
      <c r="M12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29" spans="1:13" x14ac:dyDescent="0.25">
      <c r="A129" t="s">
        <v>2950</v>
      </c>
      <c r="B129" t="s">
        <v>1792</v>
      </c>
      <c r="C129" t="s">
        <v>1792</v>
      </c>
      <c r="D129">
        <v>32</v>
      </c>
      <c r="E129">
        <v>6</v>
      </c>
      <c r="F129">
        <v>9</v>
      </c>
      <c r="G129">
        <v>12</v>
      </c>
      <c r="H129" t="s">
        <v>2814</v>
      </c>
      <c r="I12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9" t="s">
        <v>134</v>
      </c>
      <c r="K129" t="str">
        <f>RIGHT(Tabla2[[#This Row],[codigo_producto]],LEN(Tabla2[[#This Row],[codigo_producto]])-FIND("/",Tabla2[[#This Row],[codigo_producto]]))</f>
        <v>1D0615940</v>
      </c>
      <c r="L129" t="str">
        <f>LEFT(Tabla2[[#This Row],[codigo_producto]],FIND("/",Tabla2[[#This Row],[codigo_producto]])-1)</f>
        <v>2</v>
      </c>
      <c r="M12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30" spans="1:13" x14ac:dyDescent="0.25">
      <c r="A130" t="s">
        <v>2951</v>
      </c>
      <c r="B130" t="s">
        <v>1793</v>
      </c>
      <c r="C130" t="s">
        <v>1793</v>
      </c>
      <c r="D130">
        <v>32</v>
      </c>
      <c r="E130">
        <v>6</v>
      </c>
      <c r="F130">
        <v>9</v>
      </c>
      <c r="G130">
        <v>12</v>
      </c>
      <c r="H130" t="s">
        <v>2814</v>
      </c>
      <c r="I13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0" t="s">
        <v>135</v>
      </c>
      <c r="K130" t="str">
        <f>RIGHT(Tabla2[[#This Row],[codigo_producto]],LEN(Tabla2[[#This Row],[codigo_producto]])-FIND("/",Tabla2[[#This Row],[codigo_producto]]))</f>
        <v>1K0010403</v>
      </c>
      <c r="L130" t="str">
        <f>LEFT(Tabla2[[#This Row],[codigo_producto]],FIND("/",Tabla2[[#This Row],[codigo_producto]])-1)</f>
        <v>2</v>
      </c>
      <c r="M13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31" spans="1:13" x14ac:dyDescent="0.25">
      <c r="A131" t="s">
        <v>2952</v>
      </c>
      <c r="B131" t="s">
        <v>1794</v>
      </c>
      <c r="C131" t="s">
        <v>1794</v>
      </c>
      <c r="D131">
        <v>32</v>
      </c>
      <c r="E131">
        <v>6</v>
      </c>
      <c r="F131">
        <v>9</v>
      </c>
      <c r="G131">
        <v>12</v>
      </c>
      <c r="H131" t="s">
        <v>2814</v>
      </c>
      <c r="I13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1" t="s">
        <v>136</v>
      </c>
      <c r="K131" t="str">
        <f>RIGHT(Tabla2[[#This Row],[codigo_producto]],LEN(Tabla2[[#This Row],[codigo_producto]])-FIND("/",Tabla2[[#This Row],[codigo_producto]]))</f>
        <v>1K0033692</v>
      </c>
      <c r="L131" t="str">
        <f>LEFT(Tabla2[[#This Row],[codigo_producto]],FIND("/",Tabla2[[#This Row],[codigo_producto]])-1)</f>
        <v>2</v>
      </c>
      <c r="M13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32" spans="1:13" x14ac:dyDescent="0.25">
      <c r="A132" t="s">
        <v>2953</v>
      </c>
      <c r="B132" t="s">
        <v>1709</v>
      </c>
      <c r="C132" t="s">
        <v>1709</v>
      </c>
      <c r="D132">
        <v>32</v>
      </c>
      <c r="E132">
        <v>6</v>
      </c>
      <c r="F132">
        <v>9</v>
      </c>
      <c r="G132">
        <v>12</v>
      </c>
      <c r="H132" t="s">
        <v>2814</v>
      </c>
      <c r="I13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2" t="s">
        <v>137</v>
      </c>
      <c r="K132" t="str">
        <f>RIGHT(Tabla2[[#This Row],[codigo_producto]],LEN(Tabla2[[#This Row],[codigo_producto]])-FIND("/",Tabla2[[#This Row],[codigo_producto]]))</f>
        <v>1K0110404</v>
      </c>
      <c r="L132" t="str">
        <f>LEFT(Tabla2[[#This Row],[codigo_producto]],FIND("/",Tabla2[[#This Row],[codigo_producto]])-1)</f>
        <v>2</v>
      </c>
      <c r="M13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33" spans="1:13" x14ac:dyDescent="0.25">
      <c r="A133" t="s">
        <v>2954</v>
      </c>
      <c r="B133" t="s">
        <v>1795</v>
      </c>
      <c r="C133" t="s">
        <v>1795</v>
      </c>
      <c r="D133">
        <v>32</v>
      </c>
      <c r="E133">
        <v>6</v>
      </c>
      <c r="F133">
        <v>9</v>
      </c>
      <c r="G133">
        <v>12</v>
      </c>
      <c r="H133" t="s">
        <v>2814</v>
      </c>
      <c r="I13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3" t="s">
        <v>138</v>
      </c>
      <c r="K133" t="str">
        <f>RIGHT(Tabla2[[#This Row],[codigo_producto]],LEN(Tabla2[[#This Row],[codigo_producto]])-FIND("/",Tabla2[[#This Row],[codigo_producto]]))</f>
        <v>1K0110595</v>
      </c>
      <c r="L133" t="str">
        <f>LEFT(Tabla2[[#This Row],[codigo_producto]],FIND("/",Tabla2[[#This Row],[codigo_producto]])-1)</f>
        <v>2</v>
      </c>
      <c r="M13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34" spans="1:13" x14ac:dyDescent="0.25">
      <c r="A134" t="s">
        <v>2955</v>
      </c>
      <c r="B134" t="s">
        <v>1796</v>
      </c>
      <c r="C134" t="s">
        <v>1796</v>
      </c>
      <c r="D134">
        <v>32</v>
      </c>
      <c r="E134">
        <v>6</v>
      </c>
      <c r="F134">
        <v>9</v>
      </c>
      <c r="G134">
        <v>12</v>
      </c>
      <c r="H134" t="s">
        <v>2814</v>
      </c>
      <c r="I13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4" t="s">
        <v>139</v>
      </c>
      <c r="K134" t="str">
        <f>RIGHT(Tabla2[[#This Row],[codigo_producto]],LEN(Tabla2[[#This Row],[codigo_producto]])-FIND("/",Tabla2[[#This Row],[codigo_producto]]))</f>
        <v>1K011598X</v>
      </c>
      <c r="L134" t="str">
        <f>LEFT(Tabla2[[#This Row],[codigo_producto]],FIND("/",Tabla2[[#This Row],[codigo_producto]])-1)</f>
        <v>2</v>
      </c>
      <c r="M13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35" spans="1:13" x14ac:dyDescent="0.25">
      <c r="A135" t="s">
        <v>2956</v>
      </c>
      <c r="B135" t="s">
        <v>1797</v>
      </c>
      <c r="C135" t="s">
        <v>1797</v>
      </c>
      <c r="D135">
        <v>32</v>
      </c>
      <c r="E135">
        <v>6</v>
      </c>
      <c r="F135">
        <v>9</v>
      </c>
      <c r="G135">
        <v>12</v>
      </c>
      <c r="H135" t="s">
        <v>2814</v>
      </c>
      <c r="I13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5" t="s">
        <v>140</v>
      </c>
      <c r="K135" t="str">
        <f>RIGHT(Tabla2[[#This Row],[codigo_producto]],LEN(Tabla2[[#This Row],[codigo_producto]])-FIND("/",Tabla2[[#This Row],[codigo_producto]]))</f>
        <v>1K016529Y</v>
      </c>
      <c r="L135" t="str">
        <f>LEFT(Tabla2[[#This Row],[codigo_producto]],FIND("/",Tabla2[[#This Row],[codigo_producto]])-1)</f>
        <v>2</v>
      </c>
      <c r="M13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36" spans="1:13" x14ac:dyDescent="0.25">
      <c r="A136" t="s">
        <v>2957</v>
      </c>
      <c r="B136" t="s">
        <v>1798</v>
      </c>
      <c r="C136" t="s">
        <v>1798</v>
      </c>
      <c r="D136">
        <v>32</v>
      </c>
      <c r="E136">
        <v>6</v>
      </c>
      <c r="F136">
        <v>9</v>
      </c>
      <c r="G136">
        <v>12</v>
      </c>
      <c r="H136" t="s">
        <v>2814</v>
      </c>
      <c r="I13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6" t="s">
        <v>141</v>
      </c>
      <c r="K136" t="str">
        <f>RIGHT(Tabla2[[#This Row],[codigo_producto]],LEN(Tabla2[[#This Row],[codigo_producto]])-FIND("/",Tabla2[[#This Row],[codigo_producto]]))</f>
        <v>1K0216222</v>
      </c>
      <c r="L136" t="str">
        <f>LEFT(Tabla2[[#This Row],[codigo_producto]],FIND("/",Tabla2[[#This Row],[codigo_producto]])-1)</f>
        <v>2</v>
      </c>
      <c r="M13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37" spans="1:13" x14ac:dyDescent="0.25">
      <c r="A137" t="s">
        <v>2958</v>
      </c>
      <c r="B137" t="s">
        <v>1799</v>
      </c>
      <c r="C137" t="s">
        <v>1799</v>
      </c>
      <c r="D137">
        <v>32</v>
      </c>
      <c r="E137">
        <v>6</v>
      </c>
      <c r="F137">
        <v>9</v>
      </c>
      <c r="G137">
        <v>12</v>
      </c>
      <c r="H137" t="s">
        <v>2814</v>
      </c>
      <c r="I13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7" t="s">
        <v>142</v>
      </c>
      <c r="K137" t="str">
        <f>RIGHT(Tabla2[[#This Row],[codigo_producto]],LEN(Tabla2[[#This Row],[codigo_producto]])-FIND("/",Tabla2[[#This Row],[codigo_producto]]))</f>
        <v>1K0361148</v>
      </c>
      <c r="L137" t="str">
        <f>LEFT(Tabla2[[#This Row],[codigo_producto]],FIND("/",Tabla2[[#This Row],[codigo_producto]])-1)</f>
        <v>2</v>
      </c>
      <c r="M13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38" spans="1:13" x14ac:dyDescent="0.25">
      <c r="A138" t="s">
        <v>2959</v>
      </c>
      <c r="B138" t="s">
        <v>1800</v>
      </c>
      <c r="C138" t="s">
        <v>1800</v>
      </c>
      <c r="D138">
        <v>32</v>
      </c>
      <c r="E138">
        <v>6</v>
      </c>
      <c r="F138">
        <v>9</v>
      </c>
      <c r="G138">
        <v>12</v>
      </c>
      <c r="H138" t="s">
        <v>2814</v>
      </c>
      <c r="I13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8" t="s">
        <v>143</v>
      </c>
      <c r="K138" t="str">
        <f>RIGHT(Tabla2[[#This Row],[codigo_producto]],LEN(Tabla2[[#This Row],[codigo_producto]])-FIND("/",Tabla2[[#This Row],[codigo_producto]]))</f>
        <v>1K0364416</v>
      </c>
      <c r="L138" t="str">
        <f>LEFT(Tabla2[[#This Row],[codigo_producto]],FIND("/",Tabla2[[#This Row],[codigo_producto]])-1)</f>
        <v>2</v>
      </c>
      <c r="M13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39" spans="1:13" x14ac:dyDescent="0.25">
      <c r="A139" t="s">
        <v>2960</v>
      </c>
      <c r="B139" t="s">
        <v>1801</v>
      </c>
      <c r="C139" t="s">
        <v>1801</v>
      </c>
      <c r="D139">
        <v>32</v>
      </c>
      <c r="E139">
        <v>6</v>
      </c>
      <c r="F139">
        <v>9</v>
      </c>
      <c r="G139">
        <v>12</v>
      </c>
      <c r="H139" t="s">
        <v>2814</v>
      </c>
      <c r="I13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9" t="s">
        <v>144</v>
      </c>
      <c r="K139" t="str">
        <f>RIGHT(Tabla2[[#This Row],[codigo_producto]],LEN(Tabla2[[#This Row],[codigo_producto]])-FIND("/",Tabla2[[#This Row],[codigo_producto]]))</f>
        <v>1K0437190</v>
      </c>
      <c r="L139" t="str">
        <f>LEFT(Tabla2[[#This Row],[codigo_producto]],FIND("/",Tabla2[[#This Row],[codigo_producto]])-1)</f>
        <v>2</v>
      </c>
      <c r="M13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40" spans="1:13" x14ac:dyDescent="0.25">
      <c r="A140" t="s">
        <v>2961</v>
      </c>
      <c r="B140" t="s">
        <v>1799</v>
      </c>
      <c r="C140" t="s">
        <v>1799</v>
      </c>
      <c r="D140">
        <v>32</v>
      </c>
      <c r="E140">
        <v>6</v>
      </c>
      <c r="F140">
        <v>9</v>
      </c>
      <c r="G140">
        <v>12</v>
      </c>
      <c r="H140" t="s">
        <v>2814</v>
      </c>
      <c r="I14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0" t="s">
        <v>145</v>
      </c>
      <c r="K140" t="str">
        <f>RIGHT(Tabla2[[#This Row],[codigo_producto]],LEN(Tabla2[[#This Row],[codigo_producto]])-FIND("/",Tabla2[[#This Row],[codigo_producto]]))</f>
        <v>1K0461148</v>
      </c>
      <c r="L140" t="str">
        <f>LEFT(Tabla2[[#This Row],[codigo_producto]],FIND("/",Tabla2[[#This Row],[codigo_producto]])-1)</f>
        <v>2</v>
      </c>
      <c r="M14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41" spans="1:13" x14ac:dyDescent="0.25">
      <c r="A141" t="s">
        <v>2962</v>
      </c>
      <c r="B141" t="s">
        <v>1802</v>
      </c>
      <c r="C141" t="s">
        <v>1802</v>
      </c>
      <c r="D141">
        <v>32</v>
      </c>
      <c r="E141">
        <v>6</v>
      </c>
      <c r="F141">
        <v>9</v>
      </c>
      <c r="G141">
        <v>12</v>
      </c>
      <c r="H141" t="s">
        <v>2814</v>
      </c>
      <c r="I14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1" t="s">
        <v>146</v>
      </c>
      <c r="K141" t="str">
        <f>RIGHT(Tabla2[[#This Row],[codigo_producto]],LEN(Tabla2[[#This Row],[codigo_producto]])-FIND("/",Tabla2[[#This Row],[codigo_producto]]))</f>
        <v>1K0533022</v>
      </c>
      <c r="L141" t="str">
        <f>LEFT(Tabla2[[#This Row],[codigo_producto]],FIND("/",Tabla2[[#This Row],[codigo_producto]])-1)</f>
        <v>2</v>
      </c>
      <c r="M14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42" spans="1:13" x14ac:dyDescent="0.25">
      <c r="A142" t="s">
        <v>2963</v>
      </c>
      <c r="B142" t="s">
        <v>1803</v>
      </c>
      <c r="C142" t="s">
        <v>1803</v>
      </c>
      <c r="D142">
        <v>32</v>
      </c>
      <c r="E142">
        <v>6</v>
      </c>
      <c r="F142">
        <v>9</v>
      </c>
      <c r="G142">
        <v>12</v>
      </c>
      <c r="H142" t="s">
        <v>2814</v>
      </c>
      <c r="I14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2" t="s">
        <v>147</v>
      </c>
      <c r="K142" t="str">
        <f>RIGHT(Tabla2[[#This Row],[codigo_producto]],LEN(Tabla2[[#This Row],[codigo_producto]])-FIND("/",Tabla2[[#This Row],[codigo_producto]]))</f>
        <v>1K0615171</v>
      </c>
      <c r="L142" t="str">
        <f>LEFT(Tabla2[[#This Row],[codigo_producto]],FIND("/",Tabla2[[#This Row],[codigo_producto]])-1)</f>
        <v>2</v>
      </c>
      <c r="M14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43" spans="1:13" x14ac:dyDescent="0.25">
      <c r="A143" t="s">
        <v>2964</v>
      </c>
      <c r="B143" t="s">
        <v>1804</v>
      </c>
      <c r="C143" t="s">
        <v>1804</v>
      </c>
      <c r="D143">
        <v>32</v>
      </c>
      <c r="E143">
        <v>6</v>
      </c>
      <c r="F143">
        <v>9</v>
      </c>
      <c r="G143">
        <v>12</v>
      </c>
      <c r="H143" t="s">
        <v>2814</v>
      </c>
      <c r="I14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3" t="s">
        <v>148</v>
      </c>
      <c r="K143" t="str">
        <f>RIGHT(Tabla2[[#This Row],[codigo_producto]],LEN(Tabla2[[#This Row],[codigo_producto]])-FIND("/",Tabla2[[#This Row],[codigo_producto]]))</f>
        <v>1K0623802</v>
      </c>
      <c r="L143" t="str">
        <f>LEFT(Tabla2[[#This Row],[codigo_producto]],FIND("/",Tabla2[[#This Row],[codigo_producto]])-1)</f>
        <v>2</v>
      </c>
      <c r="M14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44" spans="1:13" x14ac:dyDescent="0.25">
      <c r="A144" t="s">
        <v>2965</v>
      </c>
      <c r="B144" t="s">
        <v>1805</v>
      </c>
      <c r="C144" t="s">
        <v>1805</v>
      </c>
      <c r="D144">
        <v>32</v>
      </c>
      <c r="E144">
        <v>6</v>
      </c>
      <c r="F144">
        <v>9</v>
      </c>
      <c r="G144">
        <v>12</v>
      </c>
      <c r="H144" t="s">
        <v>2814</v>
      </c>
      <c r="I14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4" t="s">
        <v>149</v>
      </c>
      <c r="K144" t="str">
        <f>RIGHT(Tabla2[[#This Row],[codigo_producto]],LEN(Tabla2[[#This Row],[codigo_producto]])-FIND("/",Tabla2[[#This Row],[codigo_producto]]))</f>
        <v>1K0633694</v>
      </c>
      <c r="L144" t="str">
        <f>LEFT(Tabla2[[#This Row],[codigo_producto]],FIND("/",Tabla2[[#This Row],[codigo_producto]])-1)</f>
        <v>2</v>
      </c>
      <c r="M14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45" spans="1:13" x14ac:dyDescent="0.25">
      <c r="A145" t="s">
        <v>2966</v>
      </c>
      <c r="B145" t="s">
        <v>1806</v>
      </c>
      <c r="C145" t="s">
        <v>1806</v>
      </c>
      <c r="D145">
        <v>32</v>
      </c>
      <c r="E145">
        <v>6</v>
      </c>
      <c r="F145">
        <v>9</v>
      </c>
      <c r="G145">
        <v>12</v>
      </c>
      <c r="H145" t="s">
        <v>2814</v>
      </c>
      <c r="I14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5" t="s">
        <v>150</v>
      </c>
      <c r="K145" t="str">
        <f>RIGHT(Tabla2[[#This Row],[codigo_producto]],LEN(Tabla2[[#This Row],[codigo_producto]])-FIND("/",Tabla2[[#This Row],[codigo_producto]]))</f>
        <v>1K0649240</v>
      </c>
      <c r="L145" t="str">
        <f>LEFT(Tabla2[[#This Row],[codigo_producto]],FIND("/",Tabla2[[#This Row],[codigo_producto]])-1)</f>
        <v>2</v>
      </c>
      <c r="M14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46" spans="1:13" x14ac:dyDescent="0.25">
      <c r="A146" t="s">
        <v>2967</v>
      </c>
      <c r="B146" t="s">
        <v>1807</v>
      </c>
      <c r="C146" t="s">
        <v>1807</v>
      </c>
      <c r="D146">
        <v>32</v>
      </c>
      <c r="E146">
        <v>6</v>
      </c>
      <c r="F146">
        <v>9</v>
      </c>
      <c r="G146">
        <v>12</v>
      </c>
      <c r="H146" t="s">
        <v>2814</v>
      </c>
      <c r="I14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6" t="s">
        <v>151</v>
      </c>
      <c r="K146" t="str">
        <f>RIGHT(Tabla2[[#This Row],[codigo_producto]],LEN(Tabla2[[#This Row],[codigo_producto]])-FIND("/",Tabla2[[#This Row],[codigo_producto]]))</f>
        <v>1K0710235</v>
      </c>
      <c r="L146" t="str">
        <f>LEFT(Tabla2[[#This Row],[codigo_producto]],FIND("/",Tabla2[[#This Row],[codigo_producto]])-1)</f>
        <v>2</v>
      </c>
      <c r="M14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47" spans="1:13" x14ac:dyDescent="0.25">
      <c r="A147" t="s">
        <v>2968</v>
      </c>
      <c r="B147" t="s">
        <v>1808</v>
      </c>
      <c r="C147" t="s">
        <v>1808</v>
      </c>
      <c r="D147">
        <v>32</v>
      </c>
      <c r="E147">
        <v>6</v>
      </c>
      <c r="F147">
        <v>9</v>
      </c>
      <c r="G147">
        <v>12</v>
      </c>
      <c r="H147" t="s">
        <v>2814</v>
      </c>
      <c r="I14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7" t="s">
        <v>152</v>
      </c>
      <c r="K147" t="str">
        <f>RIGHT(Tabla2[[#This Row],[codigo_producto]],LEN(Tabla2[[#This Row],[codigo_producto]])-FIND("/",Tabla2[[#This Row],[codigo_producto]]))</f>
        <v>1K0916410</v>
      </c>
      <c r="L147" t="str">
        <f>LEFT(Tabla2[[#This Row],[codigo_producto]],FIND("/",Tabla2[[#This Row],[codigo_producto]])-1)</f>
        <v>2</v>
      </c>
      <c r="M14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48" spans="1:13" x14ac:dyDescent="0.25">
      <c r="A148" t="s">
        <v>2969</v>
      </c>
      <c r="B148" t="s">
        <v>1809</v>
      </c>
      <c r="C148" t="s">
        <v>1809</v>
      </c>
      <c r="D148">
        <v>32</v>
      </c>
      <c r="E148">
        <v>6</v>
      </c>
      <c r="F148">
        <v>9</v>
      </c>
      <c r="G148">
        <v>12</v>
      </c>
      <c r="H148" t="s">
        <v>2814</v>
      </c>
      <c r="I14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8" t="s">
        <v>153</v>
      </c>
      <c r="K148" t="str">
        <f>RIGHT(Tabla2[[#This Row],[codigo_producto]],LEN(Tabla2[[#This Row],[codigo_producto]])-FIND("/",Tabla2[[#This Row],[codigo_producto]]))</f>
        <v>1K0934151</v>
      </c>
      <c r="L148" t="str">
        <f>LEFT(Tabla2[[#This Row],[codigo_producto]],FIND("/",Tabla2[[#This Row],[codigo_producto]])-1)</f>
        <v>2</v>
      </c>
      <c r="M14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49" spans="1:13" x14ac:dyDescent="0.25">
      <c r="A149" t="s">
        <v>2970</v>
      </c>
      <c r="B149" t="s">
        <v>1810</v>
      </c>
      <c r="C149" t="s">
        <v>1810</v>
      </c>
      <c r="D149">
        <v>32</v>
      </c>
      <c r="E149">
        <v>6</v>
      </c>
      <c r="F149">
        <v>9</v>
      </c>
      <c r="G149">
        <v>12</v>
      </c>
      <c r="H149" t="s">
        <v>2814</v>
      </c>
      <c r="I14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9" t="s">
        <v>154</v>
      </c>
      <c r="K149" t="str">
        <f>RIGHT(Tabla2[[#This Row],[codigo_producto]],LEN(Tabla2[[#This Row],[codigo_producto]])-FIND("/",Tabla2[[#This Row],[codigo_producto]]))</f>
        <v>1K0934156</v>
      </c>
      <c r="L149" t="str">
        <f>LEFT(Tabla2[[#This Row],[codigo_producto]],FIND("/",Tabla2[[#This Row],[codigo_producto]])-1)</f>
        <v>2</v>
      </c>
      <c r="M14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50" spans="1:13" x14ac:dyDescent="0.25">
      <c r="A150" t="s">
        <v>2971</v>
      </c>
      <c r="B150" t="s">
        <v>1811</v>
      </c>
      <c r="C150" t="s">
        <v>1811</v>
      </c>
      <c r="D150">
        <v>32</v>
      </c>
      <c r="E150">
        <v>6</v>
      </c>
      <c r="F150">
        <v>9</v>
      </c>
      <c r="G150">
        <v>12</v>
      </c>
      <c r="H150" t="s">
        <v>2814</v>
      </c>
      <c r="I15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0" t="s">
        <v>155</v>
      </c>
      <c r="K150" t="str">
        <f>RIGHT(Tabla2[[#This Row],[codigo_producto]],LEN(Tabla2[[#This Row],[codigo_producto]])-FIND("/",Tabla2[[#This Row],[codigo_producto]]))</f>
        <v>1K0A15940</v>
      </c>
      <c r="L150" t="str">
        <f>LEFT(Tabla2[[#This Row],[codigo_producto]],FIND("/",Tabla2[[#This Row],[codigo_producto]])-1)</f>
        <v>2</v>
      </c>
      <c r="M15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51" spans="1:13" x14ac:dyDescent="0.25">
      <c r="A151" t="s">
        <v>2972</v>
      </c>
      <c r="B151" t="s">
        <v>1715</v>
      </c>
      <c r="C151" t="s">
        <v>1715</v>
      </c>
      <c r="D151">
        <v>32</v>
      </c>
      <c r="E151">
        <v>6</v>
      </c>
      <c r="F151">
        <v>9</v>
      </c>
      <c r="G151">
        <v>12</v>
      </c>
      <c r="H151" t="s">
        <v>2814</v>
      </c>
      <c r="I15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1" t="s">
        <v>156</v>
      </c>
      <c r="K151" t="str">
        <f>RIGHT(Tabla2[[#This Row],[codigo_producto]],LEN(Tabla2[[#This Row],[codigo_producto]])-FIND("/",Tabla2[[#This Row],[codigo_producto]]))</f>
        <v>1K0A23603</v>
      </c>
      <c r="L151" t="str">
        <f>LEFT(Tabla2[[#This Row],[codigo_producto]],FIND("/",Tabla2[[#This Row],[codigo_producto]])-1)</f>
        <v>2</v>
      </c>
      <c r="M15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52" spans="1:13" x14ac:dyDescent="0.25">
      <c r="A152" t="s">
        <v>2973</v>
      </c>
      <c r="B152" t="s">
        <v>1812</v>
      </c>
      <c r="C152" t="s">
        <v>1812</v>
      </c>
      <c r="D152">
        <v>32</v>
      </c>
      <c r="E152">
        <v>6</v>
      </c>
      <c r="F152">
        <v>9</v>
      </c>
      <c r="G152">
        <v>12</v>
      </c>
      <c r="H152" t="s">
        <v>2814</v>
      </c>
      <c r="I15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2" t="s">
        <v>157</v>
      </c>
      <c r="K152" t="str">
        <f>RIGHT(Tabla2[[#This Row],[codigo_producto]],LEN(Tabla2[[#This Row],[codigo_producto]])-FIND("/",Tabla2[[#This Row],[codigo_producto]]))</f>
        <v>1K0B26251</v>
      </c>
      <c r="L152" t="str">
        <f>LEFT(Tabla2[[#This Row],[codigo_producto]],FIND("/",Tabla2[[#This Row],[codigo_producto]])-1)</f>
        <v>2</v>
      </c>
      <c r="M15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53" spans="1:13" x14ac:dyDescent="0.25">
      <c r="A153" t="s">
        <v>2974</v>
      </c>
      <c r="B153" t="s">
        <v>1805</v>
      </c>
      <c r="C153" t="s">
        <v>1805</v>
      </c>
      <c r="D153">
        <v>32</v>
      </c>
      <c r="E153">
        <v>6</v>
      </c>
      <c r="F153">
        <v>9</v>
      </c>
      <c r="G153">
        <v>12</v>
      </c>
      <c r="H153" t="s">
        <v>2814</v>
      </c>
      <c r="I15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3" t="s">
        <v>158</v>
      </c>
      <c r="K153" t="str">
        <f>RIGHT(Tabla2[[#This Row],[codigo_producto]],LEN(Tabla2[[#This Row],[codigo_producto]])-FIND("/",Tabla2[[#This Row],[codigo_producto]]))</f>
        <v>1K0B33699</v>
      </c>
      <c r="L153" t="str">
        <f>LEFT(Tabla2[[#This Row],[codigo_producto]],FIND("/",Tabla2[[#This Row],[codigo_producto]])-1)</f>
        <v>2</v>
      </c>
      <c r="M15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54" spans="1:13" x14ac:dyDescent="0.25">
      <c r="A154" t="s">
        <v>2975</v>
      </c>
      <c r="B154" t="s">
        <v>1813</v>
      </c>
      <c r="C154" t="s">
        <v>1813</v>
      </c>
      <c r="D154">
        <v>32</v>
      </c>
      <c r="E154">
        <v>6</v>
      </c>
      <c r="F154">
        <v>9</v>
      </c>
      <c r="G154">
        <v>12</v>
      </c>
      <c r="H154" t="s">
        <v>2814</v>
      </c>
      <c r="I15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4" t="s">
        <v>159</v>
      </c>
      <c r="K154" t="str">
        <f>RIGHT(Tabla2[[#This Row],[codigo_producto]],LEN(Tabla2[[#This Row],[codigo_producto]])-FIND("/",Tabla2[[#This Row],[codigo_producto]]))</f>
        <v>1K0C23570</v>
      </c>
      <c r="L154" t="str">
        <f>LEFT(Tabla2[[#This Row],[codigo_producto]],FIND("/",Tabla2[[#This Row],[codigo_producto]])-1)</f>
        <v>2</v>
      </c>
      <c r="M15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55" spans="1:13" x14ac:dyDescent="0.25">
      <c r="A155" t="s">
        <v>2976</v>
      </c>
      <c r="B155" t="s">
        <v>1814</v>
      </c>
      <c r="C155" t="s">
        <v>1814</v>
      </c>
      <c r="D155">
        <v>32</v>
      </c>
      <c r="E155">
        <v>6</v>
      </c>
      <c r="F155">
        <v>9</v>
      </c>
      <c r="G155">
        <v>12</v>
      </c>
      <c r="H155" t="s">
        <v>2814</v>
      </c>
      <c r="I15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5" t="s">
        <v>160</v>
      </c>
      <c r="K155" t="str">
        <f>RIGHT(Tabla2[[#This Row],[codigo_producto]],LEN(Tabla2[[#This Row],[codigo_producto]])-FIND("/",Tabla2[[#This Row],[codigo_producto]]))</f>
        <v>1K0G16460</v>
      </c>
      <c r="L155" t="str">
        <f>LEFT(Tabla2[[#This Row],[codigo_producto]],FIND("/",Tabla2[[#This Row],[codigo_producto]])-1)</f>
        <v>2</v>
      </c>
      <c r="M15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56" spans="1:13" x14ac:dyDescent="0.25">
      <c r="A156" t="s">
        <v>2977</v>
      </c>
      <c r="B156" t="s">
        <v>1815</v>
      </c>
      <c r="C156" t="s">
        <v>1815</v>
      </c>
      <c r="D156">
        <v>32</v>
      </c>
      <c r="E156">
        <v>6</v>
      </c>
      <c r="F156">
        <v>9</v>
      </c>
      <c r="G156">
        <v>12</v>
      </c>
      <c r="H156" t="s">
        <v>2814</v>
      </c>
      <c r="I15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6" t="s">
        <v>161</v>
      </c>
      <c r="K156" t="str">
        <f>RIGHT(Tabla2[[#This Row],[codigo_producto]],LEN(Tabla2[[#This Row],[codigo_producto]])-FIND("/",Tabla2[[#This Row],[codigo_producto]]))</f>
        <v>1K0L33980</v>
      </c>
      <c r="L156" t="str">
        <f>LEFT(Tabla2[[#This Row],[codigo_producto]],FIND("/",Tabla2[[#This Row],[codigo_producto]])-1)</f>
        <v>2</v>
      </c>
      <c r="M15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57" spans="1:13" x14ac:dyDescent="0.25">
      <c r="A157" t="s">
        <v>2978</v>
      </c>
      <c r="B157" t="s">
        <v>1816</v>
      </c>
      <c r="C157" t="s">
        <v>1816</v>
      </c>
      <c r="D157">
        <v>32</v>
      </c>
      <c r="E157">
        <v>6</v>
      </c>
      <c r="F157">
        <v>9</v>
      </c>
      <c r="G157">
        <v>12</v>
      </c>
      <c r="H157" t="s">
        <v>2814</v>
      </c>
      <c r="I15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7" t="s">
        <v>162</v>
      </c>
      <c r="K157" t="str">
        <f>RIGHT(Tabla2[[#This Row],[codigo_producto]],LEN(Tabla2[[#This Row],[codigo_producto]])-FIND("/",Tabla2[[#This Row],[codigo_producto]]))</f>
        <v>1K0M18381</v>
      </c>
      <c r="L157" t="str">
        <f>LEFT(Tabla2[[#This Row],[codigo_producto]],FIND("/",Tabla2[[#This Row],[codigo_producto]])-1)</f>
        <v>2</v>
      </c>
      <c r="M15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58" spans="1:13" x14ac:dyDescent="0.25">
      <c r="A158" t="s">
        <v>2979</v>
      </c>
      <c r="B158" t="s">
        <v>1721</v>
      </c>
      <c r="C158" t="s">
        <v>1721</v>
      </c>
      <c r="D158">
        <v>32</v>
      </c>
      <c r="E158">
        <v>6</v>
      </c>
      <c r="F158">
        <v>9</v>
      </c>
      <c r="G158">
        <v>12</v>
      </c>
      <c r="H158" t="s">
        <v>2814</v>
      </c>
      <c r="I15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8" t="s">
        <v>163</v>
      </c>
      <c r="K158" t="str">
        <f>RIGHT(Tabla2[[#This Row],[codigo_producto]],LEN(Tabla2[[#This Row],[codigo_producto]])-FIND("/",Tabla2[[#This Row],[codigo_producto]]))</f>
        <v>1K0M33257</v>
      </c>
      <c r="L158" t="str">
        <f>LEFT(Tabla2[[#This Row],[codigo_producto]],FIND("/",Tabla2[[#This Row],[codigo_producto]])-1)</f>
        <v>2</v>
      </c>
      <c r="M15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59" spans="1:13" x14ac:dyDescent="0.25">
      <c r="A159" t="s">
        <v>2980</v>
      </c>
      <c r="B159" t="s">
        <v>1817</v>
      </c>
      <c r="C159" t="s">
        <v>1817</v>
      </c>
      <c r="D159">
        <v>32</v>
      </c>
      <c r="E159">
        <v>6</v>
      </c>
      <c r="F159">
        <v>9</v>
      </c>
      <c r="G159">
        <v>12</v>
      </c>
      <c r="H159" t="s">
        <v>2814</v>
      </c>
      <c r="I15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9" t="s">
        <v>164</v>
      </c>
      <c r="K159" t="str">
        <f>RIGHT(Tabla2[[#This Row],[codigo_producto]],LEN(Tabla2[[#This Row],[codigo_producto]])-FIND("/",Tabla2[[#This Row],[codigo_producto]]))</f>
        <v>1K0M33980</v>
      </c>
      <c r="L159" t="str">
        <f>LEFT(Tabla2[[#This Row],[codigo_producto]],FIND("/",Tabla2[[#This Row],[codigo_producto]])-1)</f>
        <v>2</v>
      </c>
      <c r="M15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60" spans="1:13" x14ac:dyDescent="0.25">
      <c r="A160" t="s">
        <v>2981</v>
      </c>
      <c r="B160" t="s">
        <v>1818</v>
      </c>
      <c r="C160" t="s">
        <v>1818</v>
      </c>
      <c r="D160">
        <v>32</v>
      </c>
      <c r="E160">
        <v>6</v>
      </c>
      <c r="F160">
        <v>9</v>
      </c>
      <c r="G160">
        <v>12</v>
      </c>
      <c r="H160" t="s">
        <v>2814</v>
      </c>
      <c r="I16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0" t="s">
        <v>165</v>
      </c>
      <c r="K160" t="str">
        <f>RIGHT(Tabla2[[#This Row],[codigo_producto]],LEN(Tabla2[[#This Row],[codigo_producto]])-FIND("/",Tabla2[[#This Row],[codigo_producto]]))</f>
        <v>1K0N34211</v>
      </c>
      <c r="L160" t="str">
        <f>LEFT(Tabla2[[#This Row],[codigo_producto]],FIND("/",Tabla2[[#This Row],[codigo_producto]])-1)</f>
        <v>2</v>
      </c>
      <c r="M16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61" spans="1:13" x14ac:dyDescent="0.25">
      <c r="A161" t="s">
        <v>2982</v>
      </c>
      <c r="B161" t="s">
        <v>1819</v>
      </c>
      <c r="C161" t="s">
        <v>1819</v>
      </c>
      <c r="D161">
        <v>32</v>
      </c>
      <c r="E161">
        <v>6</v>
      </c>
      <c r="F161">
        <v>9</v>
      </c>
      <c r="G161">
        <v>12</v>
      </c>
      <c r="H161" t="s">
        <v>2814</v>
      </c>
      <c r="I16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1" t="s">
        <v>166</v>
      </c>
      <c r="K161" t="str">
        <f>RIGHT(Tabla2[[#This Row],[codigo_producto]],LEN(Tabla2[[#This Row],[codigo_producto]])-FIND("/",Tabla2[[#This Row],[codigo_producto]]))</f>
        <v>1K0P34211</v>
      </c>
      <c r="L161" t="str">
        <f>LEFT(Tabla2[[#This Row],[codigo_producto]],FIND("/",Tabla2[[#This Row],[codigo_producto]])-1)</f>
        <v>2</v>
      </c>
      <c r="M16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62" spans="1:13" x14ac:dyDescent="0.25">
      <c r="A162" t="s">
        <v>2983</v>
      </c>
      <c r="B162" t="s">
        <v>1820</v>
      </c>
      <c r="C162" t="s">
        <v>1820</v>
      </c>
      <c r="D162">
        <v>32</v>
      </c>
      <c r="E162">
        <v>6</v>
      </c>
      <c r="F162">
        <v>9</v>
      </c>
      <c r="G162">
        <v>12</v>
      </c>
      <c r="H162" t="s">
        <v>2814</v>
      </c>
      <c r="I16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2" t="s">
        <v>167</v>
      </c>
      <c r="K162" t="str">
        <f>RIGHT(Tabla2[[#This Row],[codigo_producto]],LEN(Tabla2[[#This Row],[codigo_producto]])-FIND("/",Tabla2[[#This Row],[codigo_producto]]))</f>
        <v>1K0P51120</v>
      </c>
      <c r="L162" t="str">
        <f>LEFT(Tabla2[[#This Row],[codigo_producto]],FIND("/",Tabla2[[#This Row],[codigo_producto]])-1)</f>
        <v>2</v>
      </c>
      <c r="M16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63" spans="1:13" x14ac:dyDescent="0.25">
      <c r="A163" t="s">
        <v>2984</v>
      </c>
      <c r="B163" t="s">
        <v>1821</v>
      </c>
      <c r="C163" t="s">
        <v>1821</v>
      </c>
      <c r="D163">
        <v>32</v>
      </c>
      <c r="E163">
        <v>6</v>
      </c>
      <c r="F163">
        <v>9</v>
      </c>
      <c r="G163">
        <v>12</v>
      </c>
      <c r="H163" t="s">
        <v>2814</v>
      </c>
      <c r="I16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3" t="s">
        <v>168</v>
      </c>
      <c r="K163" t="str">
        <f>RIGHT(Tabla2[[#This Row],[codigo_producto]],LEN(Tabla2[[#This Row],[codigo_producto]])-FIND("/",Tabla2[[#This Row],[codigo_producto]]))</f>
        <v>1K0R3323Z</v>
      </c>
      <c r="L163" t="str">
        <f>LEFT(Tabla2[[#This Row],[codigo_producto]],FIND("/",Tabla2[[#This Row],[codigo_producto]])-1)</f>
        <v>2</v>
      </c>
      <c r="M16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64" spans="1:13" x14ac:dyDescent="0.25">
      <c r="A164" t="s">
        <v>2985</v>
      </c>
      <c r="B164" t="s">
        <v>1822</v>
      </c>
      <c r="C164" t="s">
        <v>1822</v>
      </c>
      <c r="D164">
        <v>32</v>
      </c>
      <c r="E164">
        <v>6</v>
      </c>
      <c r="F164">
        <v>9</v>
      </c>
      <c r="G164">
        <v>12</v>
      </c>
      <c r="H164" t="s">
        <v>2814</v>
      </c>
      <c r="I16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4" t="s">
        <v>169</v>
      </c>
      <c r="K164" t="str">
        <f>RIGHT(Tabla2[[#This Row],[codigo_producto]],LEN(Tabla2[[#This Row],[codigo_producto]])-FIND("/",Tabla2[[#This Row],[codigo_producto]]))</f>
        <v>1K0Z18381</v>
      </c>
      <c r="L164" t="str">
        <f>LEFT(Tabla2[[#This Row],[codigo_producto]],FIND("/",Tabla2[[#This Row],[codigo_producto]])-1)</f>
        <v>2</v>
      </c>
      <c r="M16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65" spans="1:13" x14ac:dyDescent="0.25">
      <c r="A165" t="s">
        <v>2986</v>
      </c>
      <c r="B165" t="s">
        <v>1823</v>
      </c>
      <c r="C165" t="s">
        <v>1823</v>
      </c>
      <c r="D165">
        <v>32</v>
      </c>
      <c r="E165">
        <v>6</v>
      </c>
      <c r="F165">
        <v>9</v>
      </c>
      <c r="G165">
        <v>12</v>
      </c>
      <c r="H165" t="s">
        <v>2814</v>
      </c>
      <c r="I16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5" t="s">
        <v>170</v>
      </c>
      <c r="K165" t="str">
        <f>RIGHT(Tabla2[[#This Row],[codigo_producto]],LEN(Tabla2[[#This Row],[codigo_producto]])-FIND("/",Tabla2[[#This Row],[codigo_producto]]))</f>
        <v>1K1328700</v>
      </c>
      <c r="L165" t="str">
        <f>LEFT(Tabla2[[#This Row],[codigo_producto]],FIND("/",Tabla2[[#This Row],[codigo_producto]])-1)</f>
        <v>2</v>
      </c>
      <c r="M16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66" spans="1:13" x14ac:dyDescent="0.25">
      <c r="A166" t="s">
        <v>2987</v>
      </c>
      <c r="B166" t="s">
        <v>1824</v>
      </c>
      <c r="C166" t="s">
        <v>1824</v>
      </c>
      <c r="D166">
        <v>32</v>
      </c>
      <c r="E166">
        <v>6</v>
      </c>
      <c r="F166">
        <v>9</v>
      </c>
      <c r="G166">
        <v>12</v>
      </c>
      <c r="H166" t="s">
        <v>2814</v>
      </c>
      <c r="I16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6" t="s">
        <v>171</v>
      </c>
      <c r="K166" t="str">
        <f>RIGHT(Tabla2[[#This Row],[codigo_producto]],LEN(Tabla2[[#This Row],[codigo_producto]])-FIND("/",Tabla2[[#This Row],[codigo_producto]]))</f>
        <v>1K1334310</v>
      </c>
      <c r="L166" t="str">
        <f>LEFT(Tabla2[[#This Row],[codigo_producto]],FIND("/",Tabla2[[#This Row],[codigo_producto]])-1)</f>
        <v>2</v>
      </c>
      <c r="M16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67" spans="1:13" x14ac:dyDescent="0.25">
      <c r="A167" t="s">
        <v>2988</v>
      </c>
      <c r="B167" t="s">
        <v>1825</v>
      </c>
      <c r="C167" t="s">
        <v>1825</v>
      </c>
      <c r="D167">
        <v>32</v>
      </c>
      <c r="E167">
        <v>6</v>
      </c>
      <c r="F167">
        <v>9</v>
      </c>
      <c r="G167">
        <v>12</v>
      </c>
      <c r="H167" t="s">
        <v>2814</v>
      </c>
      <c r="I16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7" t="s">
        <v>172</v>
      </c>
      <c r="K167" t="str">
        <f>RIGHT(Tabla2[[#This Row],[codigo_producto]],LEN(Tabla2[[#This Row],[codigo_producto]])-FIND("/",Tabla2[[#This Row],[codigo_producto]]))</f>
        <v>1K1434310</v>
      </c>
      <c r="L167" t="str">
        <f>LEFT(Tabla2[[#This Row],[codigo_producto]],FIND("/",Tabla2[[#This Row],[codigo_producto]])-1)</f>
        <v>2</v>
      </c>
      <c r="M16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68" spans="1:13" x14ac:dyDescent="0.25">
      <c r="A168" t="s">
        <v>2989</v>
      </c>
      <c r="B168" t="s">
        <v>1826</v>
      </c>
      <c r="C168" t="s">
        <v>1826</v>
      </c>
      <c r="D168">
        <v>32</v>
      </c>
      <c r="E168">
        <v>6</v>
      </c>
      <c r="F168">
        <v>9</v>
      </c>
      <c r="G168">
        <v>12</v>
      </c>
      <c r="H168" t="s">
        <v>2814</v>
      </c>
      <c r="I16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8" t="s">
        <v>173</v>
      </c>
      <c r="K168" t="str">
        <f>RIGHT(Tabla2[[#This Row],[codigo_producto]],LEN(Tabla2[[#This Row],[codigo_producto]])-FIND("/",Tabla2[[#This Row],[codigo_producto]]))</f>
        <v>1K1C34700</v>
      </c>
      <c r="L168" t="str">
        <f>LEFT(Tabla2[[#This Row],[codigo_producto]],FIND("/",Tabla2[[#This Row],[codigo_producto]])-1)</f>
        <v>2</v>
      </c>
      <c r="M16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69" spans="1:13" x14ac:dyDescent="0.25">
      <c r="A169" t="s">
        <v>2990</v>
      </c>
      <c r="B169" t="s">
        <v>1827</v>
      </c>
      <c r="C169" t="s">
        <v>1827</v>
      </c>
      <c r="D169">
        <v>32</v>
      </c>
      <c r="E169">
        <v>6</v>
      </c>
      <c r="F169">
        <v>9</v>
      </c>
      <c r="G169">
        <v>12</v>
      </c>
      <c r="H169" t="s">
        <v>2814</v>
      </c>
      <c r="I16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9" t="s">
        <v>174</v>
      </c>
      <c r="K169" t="str">
        <f>RIGHT(Tabla2[[#This Row],[codigo_producto]],LEN(Tabla2[[#This Row],[codigo_producto]])-FIND("/",Tabla2[[#This Row],[codigo_producto]]))</f>
        <v>1WA013ZA5</v>
      </c>
      <c r="L169" t="str">
        <f>LEFT(Tabla2[[#This Row],[codigo_producto]],FIND("/",Tabla2[[#This Row],[codigo_producto]])-1)</f>
        <v>2</v>
      </c>
      <c r="M16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70" spans="1:13" x14ac:dyDescent="0.25">
      <c r="A170" t="s">
        <v>2991</v>
      </c>
      <c r="B170" t="s">
        <v>1712</v>
      </c>
      <c r="C170" t="s">
        <v>1712</v>
      </c>
      <c r="D170">
        <v>32</v>
      </c>
      <c r="E170">
        <v>6</v>
      </c>
      <c r="F170">
        <v>9</v>
      </c>
      <c r="G170">
        <v>12</v>
      </c>
      <c r="H170" t="s">
        <v>2814</v>
      </c>
      <c r="I17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70" t="s">
        <v>175</v>
      </c>
      <c r="K170" t="str">
        <f>RIGHT(Tabla2[[#This Row],[codigo_producto]],LEN(Tabla2[[#This Row],[codigo_producto]])-FIND("/",Tabla2[[#This Row],[codigo_producto]]))</f>
        <v>1WA014302</v>
      </c>
      <c r="L170" t="str">
        <f>LEFT(Tabla2[[#This Row],[codigo_producto]],FIND("/",Tabla2[[#This Row],[codigo_producto]])-1)</f>
        <v>2</v>
      </c>
      <c r="M17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71" spans="1:13" x14ac:dyDescent="0.25">
      <c r="A171" t="s">
        <v>2992</v>
      </c>
      <c r="B171" t="s">
        <v>1828</v>
      </c>
      <c r="C171" t="s">
        <v>1828</v>
      </c>
      <c r="D171">
        <v>32</v>
      </c>
      <c r="E171">
        <v>6</v>
      </c>
      <c r="F171">
        <v>9</v>
      </c>
      <c r="G171">
        <v>12</v>
      </c>
      <c r="H171" t="s">
        <v>2814</v>
      </c>
      <c r="I17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71" t="s">
        <v>176</v>
      </c>
      <c r="K171" t="str">
        <f>RIGHT(Tabla2[[#This Row],[codigo_producto]],LEN(Tabla2[[#This Row],[codigo_producto]])-FIND("/",Tabla2[[#This Row],[codigo_producto]]))</f>
        <v>B4YB3323Z</v>
      </c>
      <c r="L171" t="str">
        <f>LEFT(Tabla2[[#This Row],[codigo_producto]],FIND("/",Tabla2[[#This Row],[codigo_producto]])-1)</f>
        <v>2</v>
      </c>
      <c r="M17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72" spans="1:13" x14ac:dyDescent="0.25">
      <c r="A172" t="s">
        <v>2993</v>
      </c>
      <c r="B172" t="s">
        <v>1799</v>
      </c>
      <c r="C172" t="s">
        <v>1799</v>
      </c>
      <c r="D172">
        <v>32</v>
      </c>
      <c r="E172">
        <v>6</v>
      </c>
      <c r="F172">
        <v>9</v>
      </c>
      <c r="G172">
        <v>12</v>
      </c>
      <c r="H172" t="s">
        <v>2814</v>
      </c>
      <c r="I17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72" t="s">
        <v>177</v>
      </c>
      <c r="K172" t="str">
        <f>RIGHT(Tabla2[[#This Row],[codigo_producto]],LEN(Tabla2[[#This Row],[codigo_producto]])-FIND("/",Tabla2[[#This Row],[codigo_producto]]))</f>
        <v>BBM461J6X</v>
      </c>
      <c r="L172" t="str">
        <f>LEFT(Tabla2[[#This Row],[codigo_producto]],FIND("/",Tabla2[[#This Row],[codigo_producto]])-1)</f>
        <v>2</v>
      </c>
      <c r="M17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73" spans="1:13" x14ac:dyDescent="0.25">
      <c r="A173" t="s">
        <v>2994</v>
      </c>
      <c r="B173" t="s">
        <v>1829</v>
      </c>
      <c r="C173" t="s">
        <v>1829</v>
      </c>
      <c r="D173">
        <v>32</v>
      </c>
      <c r="E173">
        <v>6</v>
      </c>
      <c r="F173">
        <v>9</v>
      </c>
      <c r="G173">
        <v>12</v>
      </c>
      <c r="H173" t="s">
        <v>2814</v>
      </c>
      <c r="I17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73" t="s">
        <v>178</v>
      </c>
      <c r="K173" t="str">
        <f>RIGHT(Tabla2[[#This Row],[codigo_producto]],LEN(Tabla2[[#This Row],[codigo_producto]])-FIND("/",Tabla2[[#This Row],[codigo_producto]]))</f>
        <v>BDGF61J6X</v>
      </c>
      <c r="L173" t="str">
        <f>LEFT(Tabla2[[#This Row],[codigo_producto]],FIND("/",Tabla2[[#This Row],[codigo_producto]])-1)</f>
        <v>2</v>
      </c>
      <c r="M17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74" spans="1:13" x14ac:dyDescent="0.25">
      <c r="A174" t="s">
        <v>2995</v>
      </c>
      <c r="B174" t="s">
        <v>1721</v>
      </c>
      <c r="C174" t="s">
        <v>1721</v>
      </c>
      <c r="D174">
        <v>32</v>
      </c>
      <c r="E174">
        <v>6</v>
      </c>
      <c r="F174">
        <v>9</v>
      </c>
      <c r="G174">
        <v>12</v>
      </c>
      <c r="H174" t="s">
        <v>2814</v>
      </c>
      <c r="I17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74" t="s">
        <v>179</v>
      </c>
      <c r="K174" t="str">
        <f>RIGHT(Tabla2[[#This Row],[codigo_producto]],LEN(Tabla2[[#This Row],[codigo_producto]])-FIND("/",Tabla2[[#This Row],[codigo_producto]]))</f>
        <v>BEET33251</v>
      </c>
      <c r="L174" t="str">
        <f>LEFT(Tabla2[[#This Row],[codigo_producto]],FIND("/",Tabla2[[#This Row],[codigo_producto]])-1)</f>
        <v>2</v>
      </c>
      <c r="M17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75" spans="1:13" x14ac:dyDescent="0.25">
      <c r="A175" t="s">
        <v>2996</v>
      </c>
      <c r="B175" t="s">
        <v>1709</v>
      </c>
      <c r="C175" t="s">
        <v>1709</v>
      </c>
      <c r="D175">
        <v>32</v>
      </c>
      <c r="E175">
        <v>6</v>
      </c>
      <c r="F175">
        <v>9</v>
      </c>
      <c r="G175">
        <v>12</v>
      </c>
      <c r="H175" t="s">
        <v>2814</v>
      </c>
      <c r="I17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75" t="s">
        <v>180</v>
      </c>
      <c r="K175" t="str">
        <f>RIGHT(Tabla2[[#This Row],[codigo_producto]],LEN(Tabla2[[#This Row],[codigo_producto]])-FIND("/",Tabla2[[#This Row],[codigo_producto]]))</f>
        <v>CY0110404</v>
      </c>
      <c r="L175" t="str">
        <f>LEFT(Tabla2[[#This Row],[codigo_producto]],FIND("/",Tabla2[[#This Row],[codigo_producto]])-1)</f>
        <v>2</v>
      </c>
      <c r="M17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76" spans="1:13" x14ac:dyDescent="0.25">
      <c r="A176" t="s">
        <v>2997</v>
      </c>
      <c r="B176" t="s">
        <v>1799</v>
      </c>
      <c r="C176" t="s">
        <v>1799</v>
      </c>
      <c r="D176">
        <v>32</v>
      </c>
      <c r="E176">
        <v>6</v>
      </c>
      <c r="F176">
        <v>9</v>
      </c>
      <c r="G176">
        <v>12</v>
      </c>
      <c r="H176" t="s">
        <v>2814</v>
      </c>
      <c r="I17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76" t="s">
        <v>181</v>
      </c>
      <c r="K176" t="str">
        <f>RIGHT(Tabla2[[#This Row],[codigo_producto]],LEN(Tabla2[[#This Row],[codigo_producto]])-FIND("/",Tabla2[[#This Row],[codigo_producto]]))</f>
        <v>D09W61J6X</v>
      </c>
      <c r="L176" t="str">
        <f>LEFT(Tabla2[[#This Row],[codigo_producto]],FIND("/",Tabla2[[#This Row],[codigo_producto]])-1)</f>
        <v>2</v>
      </c>
      <c r="M17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77" spans="1:13" x14ac:dyDescent="0.25">
      <c r="A177" t="s">
        <v>2998</v>
      </c>
      <c r="B177" t="s">
        <v>1830</v>
      </c>
      <c r="C177" t="s">
        <v>1830</v>
      </c>
      <c r="D177">
        <v>32</v>
      </c>
      <c r="E177">
        <v>6</v>
      </c>
      <c r="F177">
        <v>9</v>
      </c>
      <c r="G177">
        <v>12</v>
      </c>
      <c r="H177" t="s">
        <v>2814</v>
      </c>
      <c r="I17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77" t="s">
        <v>182</v>
      </c>
      <c r="K177" t="str">
        <f>RIGHT(Tabla2[[#This Row],[codigo_producto]],LEN(Tabla2[[#This Row],[codigo_producto]])-FIND("/",Tabla2[[#This Row],[codigo_producto]]))</f>
        <v>D10E26251</v>
      </c>
      <c r="L177" t="str">
        <f>LEFT(Tabla2[[#This Row],[codigo_producto]],FIND("/",Tabla2[[#This Row],[codigo_producto]])-1)</f>
        <v>2</v>
      </c>
      <c r="M17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78" spans="1:13" x14ac:dyDescent="0.25">
      <c r="A178" t="s">
        <v>2999</v>
      </c>
      <c r="B178" t="s">
        <v>1831</v>
      </c>
      <c r="C178" t="s">
        <v>1831</v>
      </c>
      <c r="D178">
        <v>32</v>
      </c>
      <c r="E178">
        <v>6</v>
      </c>
      <c r="F178">
        <v>9</v>
      </c>
      <c r="G178">
        <v>12</v>
      </c>
      <c r="H178" t="s">
        <v>2814</v>
      </c>
      <c r="I17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78" t="s">
        <v>183</v>
      </c>
      <c r="K178" t="str">
        <f>RIGHT(Tabla2[[#This Row],[codigo_producto]],LEN(Tabla2[[#This Row],[codigo_producto]])-FIND("/",Tabla2[[#This Row],[codigo_producto]]))</f>
        <v>D5YG3328Z</v>
      </c>
      <c r="L178" t="str">
        <f>LEFT(Tabla2[[#This Row],[codigo_producto]],FIND("/",Tabla2[[#This Row],[codigo_producto]])-1)</f>
        <v>2</v>
      </c>
      <c r="M17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79" spans="1:13" x14ac:dyDescent="0.25">
      <c r="A179" t="s">
        <v>3000</v>
      </c>
      <c r="B179" t="s">
        <v>1832</v>
      </c>
      <c r="C179" t="s">
        <v>1832</v>
      </c>
      <c r="D179">
        <v>32</v>
      </c>
      <c r="E179">
        <v>6</v>
      </c>
      <c r="F179">
        <v>9</v>
      </c>
      <c r="G179">
        <v>12</v>
      </c>
      <c r="H179" t="s">
        <v>2814</v>
      </c>
      <c r="I17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79" t="s">
        <v>184</v>
      </c>
      <c r="K179" t="str">
        <f>RIGHT(Tabla2[[#This Row],[codigo_producto]],LEN(Tabla2[[#This Row],[codigo_producto]])-FIND("/",Tabla2[[#This Row],[codigo_producto]]))</f>
        <v>DA6A34380</v>
      </c>
      <c r="L179" t="str">
        <f>LEFT(Tabla2[[#This Row],[codigo_producto]],FIND("/",Tabla2[[#This Row],[codigo_producto]])-1)</f>
        <v>2</v>
      </c>
      <c r="M17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80" spans="1:13" x14ac:dyDescent="0.25">
      <c r="A180" t="s">
        <v>3001</v>
      </c>
      <c r="B180" t="s">
        <v>1833</v>
      </c>
      <c r="C180" t="s">
        <v>1833</v>
      </c>
      <c r="D180">
        <v>32</v>
      </c>
      <c r="E180">
        <v>6</v>
      </c>
      <c r="F180">
        <v>9</v>
      </c>
      <c r="G180">
        <v>12</v>
      </c>
      <c r="H180" t="s">
        <v>2814</v>
      </c>
      <c r="I18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80" t="s">
        <v>185</v>
      </c>
      <c r="K180" t="str">
        <f>RIGHT(Tabla2[[#This Row],[codigo_producto]],LEN(Tabla2[[#This Row],[codigo_producto]])-FIND("/",Tabla2[[#This Row],[codigo_producto]]))</f>
        <v>DAY076220</v>
      </c>
      <c r="L180" t="str">
        <f>LEFT(Tabla2[[#This Row],[codigo_producto]],FIND("/",Tabla2[[#This Row],[codigo_producto]])-1)</f>
        <v>2</v>
      </c>
      <c r="M18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81" spans="1:13" x14ac:dyDescent="0.25">
      <c r="A181" t="s">
        <v>3002</v>
      </c>
      <c r="B181" t="s">
        <v>1834</v>
      </c>
      <c r="C181" t="s">
        <v>1834</v>
      </c>
      <c r="D181">
        <v>32</v>
      </c>
      <c r="E181">
        <v>6</v>
      </c>
      <c r="F181">
        <v>9</v>
      </c>
      <c r="G181">
        <v>12</v>
      </c>
      <c r="H181" t="s">
        <v>2814</v>
      </c>
      <c r="I18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81" t="s">
        <v>186</v>
      </c>
      <c r="K181" t="str">
        <f>RIGHT(Tabla2[[#This Row],[codigo_producto]],LEN(Tabla2[[#This Row],[codigo_producto]])-FIND("/",Tabla2[[#This Row],[codigo_producto]]))</f>
        <v>DF7126610</v>
      </c>
      <c r="L181" t="str">
        <f>LEFT(Tabla2[[#This Row],[codigo_producto]],FIND("/",Tabla2[[#This Row],[codigo_producto]])-1)</f>
        <v>2</v>
      </c>
      <c r="M18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82" spans="1:13" x14ac:dyDescent="0.25">
      <c r="A182" t="s">
        <v>3003</v>
      </c>
      <c r="B182" t="s">
        <v>1835</v>
      </c>
      <c r="C182" t="s">
        <v>1835</v>
      </c>
      <c r="D182">
        <v>32</v>
      </c>
      <c r="E182">
        <v>6</v>
      </c>
      <c r="F182">
        <v>9</v>
      </c>
      <c r="G182">
        <v>12</v>
      </c>
      <c r="H182" t="s">
        <v>2814</v>
      </c>
      <c r="I18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82" t="s">
        <v>187</v>
      </c>
      <c r="K182" t="str">
        <f>RIGHT(Tabla2[[#This Row],[codigo_producto]],LEN(Tabla2[[#This Row],[codigo_producto]])-FIND("/",Tabla2[[#This Row],[codigo_producto]]))</f>
        <v>DFR534700</v>
      </c>
      <c r="L182" t="str">
        <f>LEFT(Tabla2[[#This Row],[codigo_producto]],FIND("/",Tabla2[[#This Row],[codigo_producto]])-1)</f>
        <v>2</v>
      </c>
      <c r="M18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83" spans="1:13" x14ac:dyDescent="0.25">
      <c r="A183" t="s">
        <v>3004</v>
      </c>
      <c r="B183" t="s">
        <v>1836</v>
      </c>
      <c r="C183" t="s">
        <v>1836</v>
      </c>
      <c r="D183">
        <v>32</v>
      </c>
      <c r="E183">
        <v>6</v>
      </c>
      <c r="F183">
        <v>9</v>
      </c>
      <c r="G183">
        <v>12</v>
      </c>
      <c r="H183" t="s">
        <v>2814</v>
      </c>
      <c r="I18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83" t="s">
        <v>188</v>
      </c>
      <c r="K183" t="str">
        <f>RIGHT(Tabla2[[#This Row],[codigo_producto]],LEN(Tabla2[[#This Row],[codigo_producto]])-FIND("/",Tabla2[[#This Row],[codigo_producto]]))</f>
        <v>DFR534900</v>
      </c>
      <c r="L183" t="str">
        <f>LEFT(Tabla2[[#This Row],[codigo_producto]],FIND("/",Tabla2[[#This Row],[codigo_producto]])-1)</f>
        <v>2</v>
      </c>
      <c r="M18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84" spans="1:13" x14ac:dyDescent="0.25">
      <c r="A184" t="s">
        <v>3005</v>
      </c>
      <c r="B184" t="s">
        <v>1837</v>
      </c>
      <c r="C184" t="s">
        <v>1837</v>
      </c>
      <c r="D184">
        <v>32</v>
      </c>
      <c r="E184">
        <v>6</v>
      </c>
      <c r="F184">
        <v>9</v>
      </c>
      <c r="G184">
        <v>12</v>
      </c>
      <c r="H184" t="s">
        <v>2814</v>
      </c>
      <c r="I18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84" t="s">
        <v>189</v>
      </c>
      <c r="K184" t="str">
        <f>RIGHT(Tabla2[[#This Row],[codigo_producto]],LEN(Tabla2[[#This Row],[codigo_producto]])-FIND("/",Tabla2[[#This Row],[codigo_producto]]))</f>
        <v>DHYG2643Z</v>
      </c>
      <c r="L184" t="str">
        <f>LEFT(Tabla2[[#This Row],[codigo_producto]],FIND("/",Tabla2[[#This Row],[codigo_producto]])-1)</f>
        <v>2</v>
      </c>
      <c r="M18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85" spans="1:13" x14ac:dyDescent="0.25">
      <c r="A185" t="s">
        <v>3006</v>
      </c>
      <c r="B185" t="s">
        <v>1835</v>
      </c>
      <c r="C185" t="s">
        <v>1835</v>
      </c>
      <c r="D185">
        <v>32</v>
      </c>
      <c r="E185">
        <v>6</v>
      </c>
      <c r="F185">
        <v>9</v>
      </c>
      <c r="G185">
        <v>12</v>
      </c>
      <c r="H185" t="s">
        <v>2814</v>
      </c>
      <c r="I18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85" t="s">
        <v>190</v>
      </c>
      <c r="K185" t="str">
        <f>RIGHT(Tabla2[[#This Row],[codigo_producto]],LEN(Tabla2[[#This Row],[codigo_producto]])-FIND("/",Tabla2[[#This Row],[codigo_producto]]))</f>
        <v>DL8V34700</v>
      </c>
      <c r="L185" t="str">
        <f>LEFT(Tabla2[[#This Row],[codigo_producto]],FIND("/",Tabla2[[#This Row],[codigo_producto]])-1)</f>
        <v>2</v>
      </c>
      <c r="M18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86" spans="1:13" x14ac:dyDescent="0.25">
      <c r="A186" t="s">
        <v>3007</v>
      </c>
      <c r="B186" t="s">
        <v>1836</v>
      </c>
      <c r="C186" t="s">
        <v>1836</v>
      </c>
      <c r="D186">
        <v>32</v>
      </c>
      <c r="E186">
        <v>6</v>
      </c>
      <c r="F186">
        <v>9</v>
      </c>
      <c r="G186">
        <v>12</v>
      </c>
      <c r="H186" t="s">
        <v>2814</v>
      </c>
      <c r="I18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86" t="s">
        <v>191</v>
      </c>
      <c r="K186" t="str">
        <f>RIGHT(Tabla2[[#This Row],[codigo_producto]],LEN(Tabla2[[#This Row],[codigo_producto]])-FIND("/",Tabla2[[#This Row],[codigo_producto]]))</f>
        <v>DL8V34900</v>
      </c>
      <c r="L186" t="str">
        <f>LEFT(Tabla2[[#This Row],[codigo_producto]],FIND("/",Tabla2[[#This Row],[codigo_producto]])-1)</f>
        <v>2</v>
      </c>
      <c r="M18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87" spans="1:13" x14ac:dyDescent="0.25">
      <c r="A187" t="s">
        <v>3008</v>
      </c>
      <c r="B187" t="s">
        <v>1838</v>
      </c>
      <c r="C187" t="s">
        <v>1838</v>
      </c>
      <c r="D187">
        <v>32</v>
      </c>
      <c r="E187">
        <v>6</v>
      </c>
      <c r="F187">
        <v>9</v>
      </c>
      <c r="G187">
        <v>12</v>
      </c>
      <c r="H187" t="s">
        <v>2814</v>
      </c>
      <c r="I18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87" t="s">
        <v>192</v>
      </c>
      <c r="K187" t="str">
        <f>RIGHT(Tabla2[[#This Row],[codigo_producto]],LEN(Tabla2[[#This Row],[codigo_producto]])-FIND("/",Tabla2[[#This Row],[codigo_producto]]))</f>
        <v>FOCOAMBAR</v>
      </c>
      <c r="L187" t="str">
        <f>LEFT(Tabla2[[#This Row],[codigo_producto]],FIND("/",Tabla2[[#This Row],[codigo_producto]])-1)</f>
        <v>2</v>
      </c>
      <c r="M18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88" spans="1:13" x14ac:dyDescent="0.25">
      <c r="A188" t="s">
        <v>3009</v>
      </c>
      <c r="B188" t="s">
        <v>1709</v>
      </c>
      <c r="C188" t="s">
        <v>1709</v>
      </c>
      <c r="D188">
        <v>32</v>
      </c>
      <c r="E188">
        <v>6</v>
      </c>
      <c r="F188">
        <v>9</v>
      </c>
      <c r="G188">
        <v>12</v>
      </c>
      <c r="H188" t="s">
        <v>2814</v>
      </c>
      <c r="I18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88" t="s">
        <v>193</v>
      </c>
      <c r="K188" t="str">
        <f>RIGHT(Tabla2[[#This Row],[codigo_producto]],LEN(Tabla2[[#This Row],[codigo_producto]])-FIND("/",Tabla2[[#This Row],[codigo_producto]]))</f>
        <v>FS5021249</v>
      </c>
      <c r="L188" t="str">
        <f>LEFT(Tabla2[[#This Row],[codigo_producto]],FIND("/",Tabla2[[#This Row],[codigo_producto]])-1)</f>
        <v>2</v>
      </c>
      <c r="M18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89" spans="1:13" x14ac:dyDescent="0.25">
      <c r="A189" t="s">
        <v>3010</v>
      </c>
      <c r="B189" t="s">
        <v>1839</v>
      </c>
      <c r="C189" t="s">
        <v>1839</v>
      </c>
      <c r="D189">
        <v>32</v>
      </c>
      <c r="E189">
        <v>6</v>
      </c>
      <c r="F189">
        <v>9</v>
      </c>
      <c r="G189">
        <v>12</v>
      </c>
      <c r="H189" t="s">
        <v>2814</v>
      </c>
      <c r="I18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89" t="s">
        <v>194</v>
      </c>
      <c r="K189" t="str">
        <f>RIGHT(Tabla2[[#This Row],[codigo_producto]],LEN(Tabla2[[#This Row],[codigo_producto]])-FIND("/",Tabla2[[#This Row],[codigo_producto]]))</f>
        <v>H30118110</v>
      </c>
      <c r="L189" t="str">
        <f>LEFT(Tabla2[[#This Row],[codigo_producto]],FIND("/",Tabla2[[#This Row],[codigo_producto]])-1)</f>
        <v>2</v>
      </c>
      <c r="M18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90" spans="1:13" x14ac:dyDescent="0.25">
      <c r="A190" t="s">
        <v>3011</v>
      </c>
      <c r="B190" t="s">
        <v>1840</v>
      </c>
      <c r="C190" t="s">
        <v>1840</v>
      </c>
      <c r="D190">
        <v>32</v>
      </c>
      <c r="E190">
        <v>6</v>
      </c>
      <c r="F190">
        <v>9</v>
      </c>
      <c r="G190">
        <v>12</v>
      </c>
      <c r="H190" t="s">
        <v>2814</v>
      </c>
      <c r="I19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90" t="s">
        <v>195</v>
      </c>
      <c r="K190" t="str">
        <f>RIGHT(Tabla2[[#This Row],[codigo_producto]],LEN(Tabla2[[#This Row],[codigo_producto]])-FIND("/",Tabla2[[#This Row],[codigo_producto]]))</f>
        <v>H50117103</v>
      </c>
      <c r="L190" t="str">
        <f>LEFT(Tabla2[[#This Row],[codigo_producto]],FIND("/",Tabla2[[#This Row],[codigo_producto]])-1)</f>
        <v>2</v>
      </c>
      <c r="M19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91" spans="1:13" x14ac:dyDescent="0.25">
      <c r="A191" t="s">
        <v>3012</v>
      </c>
      <c r="B191" t="s">
        <v>1837</v>
      </c>
      <c r="C191" t="s">
        <v>1837</v>
      </c>
      <c r="D191">
        <v>32</v>
      </c>
      <c r="E191">
        <v>6</v>
      </c>
      <c r="F191">
        <v>9</v>
      </c>
      <c r="G191">
        <v>12</v>
      </c>
      <c r="H191" t="s">
        <v>2814</v>
      </c>
      <c r="I19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91" t="s">
        <v>196</v>
      </c>
      <c r="K191" t="str">
        <f>RIGHT(Tabla2[[#This Row],[codigo_producto]],LEN(Tabla2[[#This Row],[codigo_producto]])-FIND("/",Tabla2[[#This Row],[codigo_producto]]))</f>
        <v>K1YT2643Z</v>
      </c>
      <c r="L191" t="str">
        <f>LEFT(Tabla2[[#This Row],[codigo_producto]],FIND("/",Tabla2[[#This Row],[codigo_producto]])-1)</f>
        <v>2</v>
      </c>
      <c r="M19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92" spans="1:13" x14ac:dyDescent="0.25">
      <c r="A192" t="s">
        <v>3013</v>
      </c>
      <c r="B192" t="s">
        <v>1831</v>
      </c>
      <c r="C192" t="s">
        <v>1831</v>
      </c>
      <c r="D192">
        <v>32</v>
      </c>
      <c r="E192">
        <v>6</v>
      </c>
      <c r="F192">
        <v>9</v>
      </c>
      <c r="G192">
        <v>12</v>
      </c>
      <c r="H192" t="s">
        <v>2814</v>
      </c>
      <c r="I19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92" t="s">
        <v>197</v>
      </c>
      <c r="K192" t="str">
        <f>RIGHT(Tabla2[[#This Row],[codigo_producto]],LEN(Tabla2[[#This Row],[codigo_producto]])-FIND("/",Tabla2[[#This Row],[codigo_producto]]))</f>
        <v>K1YT3328Z</v>
      </c>
      <c r="L192" t="str">
        <f>LEFT(Tabla2[[#This Row],[codigo_producto]],FIND("/",Tabla2[[#This Row],[codigo_producto]])-1)</f>
        <v>2</v>
      </c>
      <c r="M19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93" spans="1:13" x14ac:dyDescent="0.25">
      <c r="A193" t="s">
        <v>3014</v>
      </c>
      <c r="B193" t="s">
        <v>1837</v>
      </c>
      <c r="C193" t="s">
        <v>1837</v>
      </c>
      <c r="D193">
        <v>32</v>
      </c>
      <c r="E193">
        <v>6</v>
      </c>
      <c r="F193">
        <v>9</v>
      </c>
      <c r="G193">
        <v>12</v>
      </c>
      <c r="H193" t="s">
        <v>2814</v>
      </c>
      <c r="I19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93" t="s">
        <v>198</v>
      </c>
      <c r="K193" t="str">
        <f>RIGHT(Tabla2[[#This Row],[codigo_producto]],LEN(Tabla2[[#This Row],[codigo_producto]])-FIND("/",Tabla2[[#This Row],[codigo_producto]]))</f>
        <v>K2YF2643Z</v>
      </c>
      <c r="L193" t="str">
        <f>LEFT(Tabla2[[#This Row],[codigo_producto]],FIND("/",Tabla2[[#This Row],[codigo_producto]])-1)</f>
        <v>2</v>
      </c>
      <c r="M19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94" spans="1:13" x14ac:dyDescent="0.25">
      <c r="A194" t="s">
        <v>3015</v>
      </c>
      <c r="B194" t="s">
        <v>1841</v>
      </c>
      <c r="C194" t="s">
        <v>1841</v>
      </c>
      <c r="D194">
        <v>32</v>
      </c>
      <c r="E194">
        <v>6</v>
      </c>
      <c r="F194">
        <v>9</v>
      </c>
      <c r="G194">
        <v>12</v>
      </c>
      <c r="H194" t="s">
        <v>2814</v>
      </c>
      <c r="I19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94" t="s">
        <v>199</v>
      </c>
      <c r="K194" t="str">
        <f>RIGHT(Tabla2[[#This Row],[codigo_producto]],LEN(Tabla2[[#This Row],[codigo_producto]])-FIND("/",Tabla2[[#This Row],[codigo_producto]]))</f>
        <v>KA0127238</v>
      </c>
      <c r="L194" t="str">
        <f>LEFT(Tabla2[[#This Row],[codigo_producto]],FIND("/",Tabla2[[#This Row],[codigo_producto]])-1)</f>
        <v>2</v>
      </c>
      <c r="M19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95" spans="1:13" x14ac:dyDescent="0.25">
      <c r="A195" t="s">
        <v>3016</v>
      </c>
      <c r="B195" t="s">
        <v>1842</v>
      </c>
      <c r="C195" t="s">
        <v>1842</v>
      </c>
      <c r="D195">
        <v>32</v>
      </c>
      <c r="E195">
        <v>6</v>
      </c>
      <c r="F195">
        <v>9</v>
      </c>
      <c r="G195">
        <v>12</v>
      </c>
      <c r="H195" t="s">
        <v>2814</v>
      </c>
      <c r="I19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95" t="s">
        <v>200</v>
      </c>
      <c r="K195" t="str">
        <f>RIGHT(Tabla2[[#This Row],[codigo_producto]],LEN(Tabla2[[#This Row],[codigo_producto]])-FIND("/",Tabla2[[#This Row],[codigo_producto]]))</f>
        <v>KB8C64393</v>
      </c>
      <c r="L195" t="str">
        <f>LEFT(Tabla2[[#This Row],[codigo_producto]],FIND("/",Tabla2[[#This Row],[codigo_producto]])-1)</f>
        <v>2</v>
      </c>
      <c r="M19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96" spans="1:13" x14ac:dyDescent="0.25">
      <c r="A196" t="s">
        <v>3017</v>
      </c>
      <c r="B196" t="s">
        <v>1843</v>
      </c>
      <c r="C196" t="s">
        <v>1843</v>
      </c>
      <c r="D196">
        <v>32</v>
      </c>
      <c r="E196">
        <v>6</v>
      </c>
      <c r="F196">
        <v>9</v>
      </c>
      <c r="G196">
        <v>12</v>
      </c>
      <c r="H196" t="s">
        <v>2814</v>
      </c>
      <c r="I19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96" t="s">
        <v>201</v>
      </c>
      <c r="K196" t="str">
        <f>RIGHT(Tabla2[[#This Row],[codigo_producto]],LEN(Tabla2[[#This Row],[codigo_producto]])-FIND("/",Tabla2[[#This Row],[codigo_producto]]))</f>
        <v>KD2W67330</v>
      </c>
      <c r="L196" t="str">
        <f>LEFT(Tabla2[[#This Row],[codigo_producto]],FIND("/",Tabla2[[#This Row],[codigo_producto]])-1)</f>
        <v>2</v>
      </c>
      <c r="M19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97" spans="1:13" x14ac:dyDescent="0.25">
      <c r="A197" t="s">
        <v>3018</v>
      </c>
      <c r="B197" t="s">
        <v>1844</v>
      </c>
      <c r="C197" t="s">
        <v>1844</v>
      </c>
      <c r="D197">
        <v>32</v>
      </c>
      <c r="E197">
        <v>6</v>
      </c>
      <c r="F197">
        <v>9</v>
      </c>
      <c r="G197">
        <v>12</v>
      </c>
      <c r="H197" t="s">
        <v>2814</v>
      </c>
      <c r="I19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97" t="s">
        <v>202</v>
      </c>
      <c r="K197" t="str">
        <f>RIGHT(Tabla2[[#This Row],[codigo_producto]],LEN(Tabla2[[#This Row],[codigo_producto]])-FIND("/",Tabla2[[#This Row],[codigo_producto]]))</f>
        <v>KD3132280</v>
      </c>
      <c r="L197" t="str">
        <f>LEFT(Tabla2[[#This Row],[codigo_producto]],FIND("/",Tabla2[[#This Row],[codigo_producto]])-1)</f>
        <v>2</v>
      </c>
      <c r="M19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98" spans="1:13" x14ac:dyDescent="0.25">
      <c r="A198" t="s">
        <v>3019</v>
      </c>
      <c r="B198" t="s">
        <v>1845</v>
      </c>
      <c r="C198" t="s">
        <v>1845</v>
      </c>
      <c r="D198">
        <v>32</v>
      </c>
      <c r="E198">
        <v>6</v>
      </c>
      <c r="F198">
        <v>9</v>
      </c>
      <c r="G198">
        <v>12</v>
      </c>
      <c r="H198" t="s">
        <v>2814</v>
      </c>
      <c r="I19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98" t="s">
        <v>203</v>
      </c>
      <c r="K198" t="str">
        <f>RIGHT(Tabla2[[#This Row],[codigo_producto]],LEN(Tabla2[[#This Row],[codigo_producto]])-FIND("/",Tabla2[[#This Row],[codigo_producto]]))</f>
        <v>KD4533251</v>
      </c>
      <c r="L198" t="str">
        <f>LEFT(Tabla2[[#This Row],[codigo_producto]],FIND("/",Tabla2[[#This Row],[codigo_producto]])-1)</f>
        <v>2</v>
      </c>
      <c r="M19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99" spans="1:13" x14ac:dyDescent="0.25">
      <c r="A199" t="s">
        <v>3020</v>
      </c>
      <c r="B199" t="s">
        <v>1799</v>
      </c>
      <c r="C199" t="s">
        <v>1799</v>
      </c>
      <c r="D199">
        <v>32</v>
      </c>
      <c r="E199">
        <v>6</v>
      </c>
      <c r="F199">
        <v>9</v>
      </c>
      <c r="G199">
        <v>12</v>
      </c>
      <c r="H199" t="s">
        <v>2814</v>
      </c>
      <c r="I19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99" t="s">
        <v>204</v>
      </c>
      <c r="K199" t="str">
        <f>RIGHT(Tabla2[[#This Row],[codigo_producto]],LEN(Tabla2[[#This Row],[codigo_producto]])-FIND("/",Tabla2[[#This Row],[codigo_producto]]))</f>
        <v>KD4561J6X</v>
      </c>
      <c r="L199" t="str">
        <f>LEFT(Tabla2[[#This Row],[codigo_producto]],FIND("/",Tabla2[[#This Row],[codigo_producto]])-1)</f>
        <v>2</v>
      </c>
      <c r="M19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00" spans="1:13" x14ac:dyDescent="0.25">
      <c r="A200" t="s">
        <v>3021</v>
      </c>
      <c r="B200" t="s">
        <v>1829</v>
      </c>
      <c r="C200" t="s">
        <v>1829</v>
      </c>
      <c r="D200">
        <v>32</v>
      </c>
      <c r="E200">
        <v>6</v>
      </c>
      <c r="F200">
        <v>9</v>
      </c>
      <c r="G200">
        <v>12</v>
      </c>
      <c r="H200" t="s">
        <v>2814</v>
      </c>
      <c r="I20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00" t="s">
        <v>205</v>
      </c>
      <c r="K200" t="str">
        <f>RIGHT(Tabla2[[#This Row],[codigo_producto]],LEN(Tabla2[[#This Row],[codigo_producto]])-FIND("/",Tabla2[[#This Row],[codigo_producto]]))</f>
        <v>KR9P61J6X</v>
      </c>
      <c r="L200" t="str">
        <f>LEFT(Tabla2[[#This Row],[codigo_producto]],FIND("/",Tabla2[[#This Row],[codigo_producto]])-1)</f>
        <v>2</v>
      </c>
      <c r="M20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01" spans="1:13" x14ac:dyDescent="0.25">
      <c r="A201" t="s">
        <v>3022</v>
      </c>
      <c r="B201" t="s">
        <v>1836</v>
      </c>
      <c r="C201" t="s">
        <v>1836</v>
      </c>
      <c r="D201">
        <v>32</v>
      </c>
      <c r="E201">
        <v>6</v>
      </c>
      <c r="F201">
        <v>9</v>
      </c>
      <c r="G201">
        <v>12</v>
      </c>
      <c r="H201" t="s">
        <v>2814</v>
      </c>
      <c r="I20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01" t="s">
        <v>206</v>
      </c>
      <c r="K201" t="str">
        <f>RIGHT(Tabla2[[#This Row],[codigo_producto]],LEN(Tabla2[[#This Row],[codigo_producto]])-FIND("/",Tabla2[[#This Row],[codigo_producto]]))</f>
        <v>KSL434900</v>
      </c>
      <c r="L201" t="str">
        <f>LEFT(Tabla2[[#This Row],[codigo_producto]],FIND("/",Tabla2[[#This Row],[codigo_producto]])-1)</f>
        <v>2</v>
      </c>
      <c r="M20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02" spans="1:13" x14ac:dyDescent="0.25">
      <c r="A202" t="s">
        <v>3023</v>
      </c>
      <c r="B202" t="s">
        <v>1729</v>
      </c>
      <c r="C202" t="s">
        <v>1729</v>
      </c>
      <c r="D202">
        <v>32</v>
      </c>
      <c r="E202">
        <v>6</v>
      </c>
      <c r="F202">
        <v>9</v>
      </c>
      <c r="G202">
        <v>12</v>
      </c>
      <c r="H202" t="s">
        <v>2814</v>
      </c>
      <c r="I20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02" t="s">
        <v>207</v>
      </c>
      <c r="K202" t="str">
        <f>RIGHT(Tabla2[[#This Row],[codigo_producto]],LEN(Tabla2[[#This Row],[codigo_producto]])-FIND("/",Tabla2[[#This Row],[codigo_producto]]))</f>
        <v>L2Y661P11</v>
      </c>
      <c r="L202" t="str">
        <f>LEFT(Tabla2[[#This Row],[codigo_producto]],FIND("/",Tabla2[[#This Row],[codigo_producto]])-1)</f>
        <v>2</v>
      </c>
      <c r="M20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03" spans="1:13" x14ac:dyDescent="0.25">
      <c r="A203" t="s">
        <v>3024</v>
      </c>
      <c r="B203" t="s">
        <v>1846</v>
      </c>
      <c r="C203" t="s">
        <v>1846</v>
      </c>
      <c r="D203">
        <v>32</v>
      </c>
      <c r="E203">
        <v>6</v>
      </c>
      <c r="F203">
        <v>9</v>
      </c>
      <c r="G203">
        <v>12</v>
      </c>
      <c r="H203" t="s">
        <v>2814</v>
      </c>
      <c r="I20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03" t="s">
        <v>208</v>
      </c>
      <c r="K203" t="str">
        <f>RIGHT(Tabla2[[#This Row],[codigo_producto]],LEN(Tabla2[[#This Row],[codigo_producto]])-FIND("/",Tabla2[[#This Row],[codigo_producto]]))</f>
        <v>LF0116510</v>
      </c>
      <c r="L203" t="str">
        <f>LEFT(Tabla2[[#This Row],[codigo_producto]],FIND("/",Tabla2[[#This Row],[codigo_producto]])-1)</f>
        <v>2</v>
      </c>
      <c r="M20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04" spans="1:13" x14ac:dyDescent="0.25">
      <c r="A204" t="s">
        <v>3025</v>
      </c>
      <c r="B204" t="s">
        <v>1715</v>
      </c>
      <c r="C204" t="s">
        <v>1715</v>
      </c>
      <c r="D204">
        <v>32</v>
      </c>
      <c r="E204">
        <v>6</v>
      </c>
      <c r="F204">
        <v>9</v>
      </c>
      <c r="G204">
        <v>12</v>
      </c>
      <c r="H204" t="s">
        <v>2814</v>
      </c>
      <c r="I20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04" t="s">
        <v>209</v>
      </c>
      <c r="K204" t="str">
        <f>RIGHT(Tabla2[[#This Row],[codigo_producto]],LEN(Tabla2[[#This Row],[codigo_producto]])-FIND("/",Tabla2[[#This Row],[codigo_producto]]))</f>
        <v>P501133A0</v>
      </c>
      <c r="L204" t="str">
        <f>LEFT(Tabla2[[#This Row],[codigo_producto]],FIND("/",Tabla2[[#This Row],[codigo_producto]])-1)</f>
        <v>2</v>
      </c>
      <c r="M20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05" spans="1:13" x14ac:dyDescent="0.25">
      <c r="A205" t="s">
        <v>3026</v>
      </c>
      <c r="B205" t="s">
        <v>1847</v>
      </c>
      <c r="C205" t="s">
        <v>1847</v>
      </c>
      <c r="D205">
        <v>32</v>
      </c>
      <c r="E205">
        <v>6</v>
      </c>
      <c r="F205">
        <v>9</v>
      </c>
      <c r="G205">
        <v>12</v>
      </c>
      <c r="H205" t="s">
        <v>2814</v>
      </c>
      <c r="I20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05" t="s">
        <v>210</v>
      </c>
      <c r="K205" t="str">
        <f>RIGHT(Tabla2[[#This Row],[codigo_producto]],LEN(Tabla2[[#This Row],[codigo_producto]])-FIND("/",Tabla2[[#This Row],[codigo_producto]]))</f>
        <v>P51R18100</v>
      </c>
      <c r="L205" t="str">
        <f>LEFT(Tabla2[[#This Row],[codigo_producto]],FIND("/",Tabla2[[#This Row],[codigo_producto]])-1)</f>
        <v>2</v>
      </c>
      <c r="M20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06" spans="1:13" x14ac:dyDescent="0.25">
      <c r="A206" t="s">
        <v>3027</v>
      </c>
      <c r="B206" t="s">
        <v>1848</v>
      </c>
      <c r="C206" t="s">
        <v>1848</v>
      </c>
      <c r="D206">
        <v>32</v>
      </c>
      <c r="E206">
        <v>6</v>
      </c>
      <c r="F206">
        <v>9</v>
      </c>
      <c r="G206">
        <v>12</v>
      </c>
      <c r="H206" t="s">
        <v>2814</v>
      </c>
      <c r="I20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06" t="s">
        <v>211</v>
      </c>
      <c r="K206" t="str">
        <f>RIGHT(Tabla2[[#This Row],[codigo_producto]],LEN(Tabla2[[#This Row],[codigo_producto]])-FIND("/",Tabla2[[#This Row],[codigo_producto]]))</f>
        <v>P51T188G1</v>
      </c>
      <c r="L206" t="str">
        <f>LEFT(Tabla2[[#This Row],[codigo_producto]],FIND("/",Tabla2[[#This Row],[codigo_producto]])-1)</f>
        <v>2</v>
      </c>
      <c r="M20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07" spans="1:13" x14ac:dyDescent="0.25">
      <c r="A207" t="s">
        <v>3028</v>
      </c>
      <c r="B207" t="s">
        <v>1849</v>
      </c>
      <c r="C207" t="s">
        <v>1849</v>
      </c>
      <c r="D207">
        <v>32</v>
      </c>
      <c r="E207">
        <v>6</v>
      </c>
      <c r="F207">
        <v>9</v>
      </c>
      <c r="G207">
        <v>12</v>
      </c>
      <c r="H207" t="s">
        <v>2814</v>
      </c>
      <c r="I20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07" t="s">
        <v>212</v>
      </c>
      <c r="K207" t="str">
        <f>RIGHT(Tabla2[[#This Row],[codigo_producto]],LEN(Tabla2[[#This Row],[codigo_producto]])-FIND("/",Tabla2[[#This Row],[codigo_producto]]))</f>
        <v>P5PS1886Z</v>
      </c>
      <c r="L207" t="str">
        <f>LEFT(Tabla2[[#This Row],[codigo_producto]],FIND("/",Tabla2[[#This Row],[codigo_producto]])-1)</f>
        <v>2</v>
      </c>
      <c r="M20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08" spans="1:13" x14ac:dyDescent="0.25">
      <c r="A208" t="s">
        <v>3029</v>
      </c>
      <c r="B208" t="s">
        <v>1850</v>
      </c>
      <c r="C208" t="s">
        <v>1850</v>
      </c>
      <c r="D208">
        <v>32</v>
      </c>
      <c r="E208">
        <v>6</v>
      </c>
      <c r="F208">
        <v>9</v>
      </c>
      <c r="G208">
        <v>12</v>
      </c>
      <c r="H208" t="s">
        <v>2814</v>
      </c>
      <c r="I20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08" t="s">
        <v>213</v>
      </c>
      <c r="K208" t="str">
        <f>RIGHT(Tabla2[[#This Row],[codigo_producto]],LEN(Tabla2[[#This Row],[codigo_producto]])-FIND("/",Tabla2[[#This Row],[codigo_producto]]))</f>
        <v>P5RV18881</v>
      </c>
      <c r="L208" t="str">
        <f>LEFT(Tabla2[[#This Row],[codigo_producto]],FIND("/",Tabla2[[#This Row],[codigo_producto]])-1)</f>
        <v>2</v>
      </c>
      <c r="M20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09" spans="1:13" x14ac:dyDescent="0.25">
      <c r="A209" t="s">
        <v>3030</v>
      </c>
      <c r="B209" t="s">
        <v>1851</v>
      </c>
      <c r="C209" t="s">
        <v>1851</v>
      </c>
      <c r="D209">
        <v>32</v>
      </c>
      <c r="E209">
        <v>6</v>
      </c>
      <c r="F209">
        <v>9</v>
      </c>
      <c r="G209">
        <v>12</v>
      </c>
      <c r="H209" t="s">
        <v>2814</v>
      </c>
      <c r="I20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09" t="s">
        <v>214</v>
      </c>
      <c r="K209" t="str">
        <f>RIGHT(Tabla2[[#This Row],[codigo_producto]],LEN(Tabla2[[#This Row],[codigo_producto]])-FIND("/",Tabla2[[#This Row],[codigo_producto]]))</f>
        <v>PE0113150</v>
      </c>
      <c r="L209" t="str">
        <f>LEFT(Tabla2[[#This Row],[codigo_producto]],FIND("/",Tabla2[[#This Row],[codigo_producto]])-1)</f>
        <v>2</v>
      </c>
      <c r="M20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10" spans="1:13" x14ac:dyDescent="0.25">
      <c r="A210" t="s">
        <v>3031</v>
      </c>
      <c r="B210" t="s">
        <v>1852</v>
      </c>
      <c r="C210" t="s">
        <v>1852</v>
      </c>
      <c r="D210">
        <v>32</v>
      </c>
      <c r="E210">
        <v>6</v>
      </c>
      <c r="F210">
        <v>9</v>
      </c>
      <c r="G210">
        <v>12</v>
      </c>
      <c r="H210" t="s">
        <v>2814</v>
      </c>
      <c r="I21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10" t="s">
        <v>215</v>
      </c>
      <c r="K210" t="str">
        <f>RIGHT(Tabla2[[#This Row],[codigo_producto]],LEN(Tabla2[[#This Row],[codigo_producto]])-FIND("/",Tabla2[[#This Row],[codigo_producto]]))</f>
        <v>PE0113890</v>
      </c>
      <c r="L210" t="str">
        <f>LEFT(Tabla2[[#This Row],[codigo_producto]],FIND("/",Tabla2[[#This Row],[codigo_producto]])-1)</f>
        <v>2</v>
      </c>
      <c r="M21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11" spans="1:13" x14ac:dyDescent="0.25">
      <c r="A211" t="s">
        <v>3032</v>
      </c>
      <c r="B211" t="s">
        <v>1822</v>
      </c>
      <c r="C211" t="s">
        <v>1822</v>
      </c>
      <c r="D211">
        <v>32</v>
      </c>
      <c r="E211">
        <v>6</v>
      </c>
      <c r="F211">
        <v>9</v>
      </c>
      <c r="G211">
        <v>12</v>
      </c>
      <c r="H211" t="s">
        <v>2814</v>
      </c>
      <c r="I21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11" t="s">
        <v>216</v>
      </c>
      <c r="K211" t="str">
        <f>RIGHT(Tabla2[[#This Row],[codigo_producto]],LEN(Tabla2[[#This Row],[codigo_producto]])-FIND("/",Tabla2[[#This Row],[codigo_producto]]))</f>
        <v>PE0115908</v>
      </c>
      <c r="L211" t="str">
        <f>LEFT(Tabla2[[#This Row],[codigo_producto]],FIND("/",Tabla2[[#This Row],[codigo_producto]])-1)</f>
        <v>2</v>
      </c>
      <c r="M21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12" spans="1:13" x14ac:dyDescent="0.25">
      <c r="A212" t="s">
        <v>3033</v>
      </c>
      <c r="B212" t="s">
        <v>1853</v>
      </c>
      <c r="C212" t="s">
        <v>1853</v>
      </c>
      <c r="D212">
        <v>32</v>
      </c>
      <c r="E212">
        <v>6</v>
      </c>
      <c r="F212">
        <v>9</v>
      </c>
      <c r="G212">
        <v>12</v>
      </c>
      <c r="H212" t="s">
        <v>2814</v>
      </c>
      <c r="I21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12" t="s">
        <v>217</v>
      </c>
      <c r="K212" t="str">
        <f>RIGHT(Tabla2[[#This Row],[codigo_producto]],LEN(Tabla2[[#This Row],[codigo_producto]])-FIND("/",Tabla2[[#This Row],[codigo_producto]]))</f>
        <v>PE0116460</v>
      </c>
      <c r="L212" t="str">
        <f>LEFT(Tabla2[[#This Row],[codigo_producto]],FIND("/",Tabla2[[#This Row],[codigo_producto]])-1)</f>
        <v>2</v>
      </c>
      <c r="M21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13" spans="1:13" x14ac:dyDescent="0.25">
      <c r="A213" t="s">
        <v>3034</v>
      </c>
      <c r="B213" t="s">
        <v>1854</v>
      </c>
      <c r="C213" t="s">
        <v>1854</v>
      </c>
      <c r="D213">
        <v>32</v>
      </c>
      <c r="E213">
        <v>6</v>
      </c>
      <c r="F213">
        <v>9</v>
      </c>
      <c r="G213">
        <v>12</v>
      </c>
      <c r="H213" t="s">
        <v>2814</v>
      </c>
      <c r="I21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13" t="s">
        <v>218</v>
      </c>
      <c r="K213" t="str">
        <f>RIGHT(Tabla2[[#This Row],[codigo_producto]],LEN(Tabla2[[#This Row],[codigo_producto]])-FIND("/",Tabla2[[#This Row],[codigo_producto]]))</f>
        <v>PE0118221</v>
      </c>
      <c r="L213" t="str">
        <f>LEFT(Tabla2[[#This Row],[codigo_producto]],FIND("/",Tabla2[[#This Row],[codigo_producto]])-1)</f>
        <v>2</v>
      </c>
      <c r="M21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14" spans="1:13" x14ac:dyDescent="0.25">
      <c r="A214" t="s">
        <v>3035</v>
      </c>
      <c r="B214" t="s">
        <v>1855</v>
      </c>
      <c r="C214" t="s">
        <v>1855</v>
      </c>
      <c r="D214">
        <v>32</v>
      </c>
      <c r="E214">
        <v>6</v>
      </c>
      <c r="F214">
        <v>9</v>
      </c>
      <c r="G214">
        <v>12</v>
      </c>
      <c r="H214" t="s">
        <v>2814</v>
      </c>
      <c r="I21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14" t="s">
        <v>219</v>
      </c>
      <c r="K214" t="str">
        <f>RIGHT(Tabla2[[#This Row],[codigo_producto]],LEN(Tabla2[[#This Row],[codigo_producto]])-FIND("/",Tabla2[[#This Row],[codigo_producto]]))</f>
        <v>PEAR133A0</v>
      </c>
      <c r="L214" t="str">
        <f>LEFT(Tabla2[[#This Row],[codigo_producto]],FIND("/",Tabla2[[#This Row],[codigo_producto]])-1)</f>
        <v>2</v>
      </c>
      <c r="M21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15" spans="1:13" x14ac:dyDescent="0.25">
      <c r="A215" t="s">
        <v>3036</v>
      </c>
      <c r="B215" t="s">
        <v>1715</v>
      </c>
      <c r="C215" t="s">
        <v>1715</v>
      </c>
      <c r="D215">
        <v>32</v>
      </c>
      <c r="E215">
        <v>6</v>
      </c>
      <c r="F215">
        <v>9</v>
      </c>
      <c r="G215">
        <v>12</v>
      </c>
      <c r="H215" t="s">
        <v>2814</v>
      </c>
      <c r="I21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15" t="s">
        <v>220</v>
      </c>
      <c r="K215" t="str">
        <f>RIGHT(Tabla2[[#This Row],[codigo_producto]],LEN(Tabla2[[#This Row],[codigo_producto]])-FIND("/",Tabla2[[#This Row],[codigo_producto]]))</f>
        <v>PEHH133A0</v>
      </c>
      <c r="L215" t="str">
        <f>LEFT(Tabla2[[#This Row],[codigo_producto]],FIND("/",Tabla2[[#This Row],[codigo_producto]])-1)</f>
        <v>2</v>
      </c>
      <c r="M21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16" spans="1:13" x14ac:dyDescent="0.25">
      <c r="A216" t="s">
        <v>3037</v>
      </c>
      <c r="B216" t="s">
        <v>1715</v>
      </c>
      <c r="C216" t="s">
        <v>1715</v>
      </c>
      <c r="D216">
        <v>32</v>
      </c>
      <c r="E216">
        <v>6</v>
      </c>
      <c r="F216">
        <v>9</v>
      </c>
      <c r="G216">
        <v>12</v>
      </c>
      <c r="H216" t="s">
        <v>2814</v>
      </c>
      <c r="I21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16" t="s">
        <v>221</v>
      </c>
      <c r="K216" t="str">
        <f>RIGHT(Tabla2[[#This Row],[codigo_producto]],LEN(Tabla2[[#This Row],[codigo_producto]])-FIND("/",Tabla2[[#This Row],[codigo_producto]]))</f>
        <v>PXFV133A0</v>
      </c>
      <c r="L216" t="str">
        <f>LEFT(Tabla2[[#This Row],[codigo_producto]],FIND("/",Tabla2[[#This Row],[codigo_producto]])-1)</f>
        <v>2</v>
      </c>
      <c r="M21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17" spans="1:13" x14ac:dyDescent="0.25">
      <c r="A217" t="s">
        <v>3038</v>
      </c>
      <c r="B217" t="s">
        <v>1827</v>
      </c>
      <c r="C217" t="s">
        <v>1827</v>
      </c>
      <c r="D217">
        <v>32</v>
      </c>
      <c r="E217">
        <v>6</v>
      </c>
      <c r="F217">
        <v>9</v>
      </c>
      <c r="G217">
        <v>12</v>
      </c>
      <c r="H217" t="s">
        <v>2814</v>
      </c>
      <c r="I21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17" t="s">
        <v>222</v>
      </c>
      <c r="K217" t="str">
        <f>RIGHT(Tabla2[[#This Row],[codigo_producto]],LEN(Tabla2[[#This Row],[codigo_producto]])-FIND("/",Tabla2[[#This Row],[codigo_producto]]))</f>
        <v>PXPP13ZE0</v>
      </c>
      <c r="L217" t="str">
        <f>LEFT(Tabla2[[#This Row],[codigo_producto]],FIND("/",Tabla2[[#This Row],[codigo_producto]])-1)</f>
        <v>2</v>
      </c>
      <c r="M21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18" spans="1:13" x14ac:dyDescent="0.25">
      <c r="A218" t="s">
        <v>3039</v>
      </c>
      <c r="B218" t="s">
        <v>1839</v>
      </c>
      <c r="C218" t="s">
        <v>1839</v>
      </c>
      <c r="D218">
        <v>32</v>
      </c>
      <c r="E218">
        <v>6</v>
      </c>
      <c r="F218">
        <v>9</v>
      </c>
      <c r="G218">
        <v>12</v>
      </c>
      <c r="H218" t="s">
        <v>2814</v>
      </c>
      <c r="I21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18" t="s">
        <v>223</v>
      </c>
      <c r="K218" t="str">
        <f>RIGHT(Tabla2[[#This Row],[codigo_producto]],LEN(Tabla2[[#This Row],[codigo_producto]])-FIND("/",Tabla2[[#This Row],[codigo_producto]]))</f>
        <v>PY8V18110</v>
      </c>
      <c r="L218" t="str">
        <f>LEFT(Tabla2[[#This Row],[codigo_producto]],FIND("/",Tabla2[[#This Row],[codigo_producto]])-1)</f>
        <v>2</v>
      </c>
      <c r="M21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19" spans="1:13" x14ac:dyDescent="0.25">
      <c r="A219" t="s">
        <v>3040</v>
      </c>
      <c r="B219" t="s">
        <v>1715</v>
      </c>
      <c r="C219" t="s">
        <v>1715</v>
      </c>
      <c r="D219">
        <v>32</v>
      </c>
      <c r="E219">
        <v>6</v>
      </c>
      <c r="F219">
        <v>9</v>
      </c>
      <c r="G219">
        <v>12</v>
      </c>
      <c r="H219" t="s">
        <v>2814</v>
      </c>
      <c r="I21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19" t="s">
        <v>224</v>
      </c>
      <c r="K219" t="str">
        <f>RIGHT(Tabla2[[#This Row],[codigo_producto]],LEN(Tabla2[[#This Row],[codigo_producto]])-FIND("/",Tabla2[[#This Row],[codigo_producto]]))</f>
        <v>PY8W133A0</v>
      </c>
      <c r="L219" t="str">
        <f>LEFT(Tabla2[[#This Row],[codigo_producto]],FIND("/",Tabla2[[#This Row],[codigo_producto]])-1)</f>
        <v>2</v>
      </c>
      <c r="M21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20" spans="1:13" x14ac:dyDescent="0.25">
      <c r="A220" t="s">
        <v>3041</v>
      </c>
      <c r="B220" t="s">
        <v>1712</v>
      </c>
      <c r="C220" t="s">
        <v>1712</v>
      </c>
      <c r="D220">
        <v>32</v>
      </c>
      <c r="E220">
        <v>6</v>
      </c>
      <c r="F220">
        <v>9</v>
      </c>
      <c r="G220">
        <v>12</v>
      </c>
      <c r="H220" t="s">
        <v>2814</v>
      </c>
      <c r="I22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20" t="s">
        <v>225</v>
      </c>
      <c r="K220" t="str">
        <f>RIGHT(Tabla2[[#This Row],[codigo_producto]],LEN(Tabla2[[#This Row],[codigo_producto]])-FIND("/",Tabla2[[#This Row],[codigo_producto]]))</f>
        <v>PY8W14302</v>
      </c>
      <c r="L220" t="str">
        <f>LEFT(Tabla2[[#This Row],[codigo_producto]],FIND("/",Tabla2[[#This Row],[codigo_producto]])-1)</f>
        <v>2</v>
      </c>
      <c r="M22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21" spans="1:13" x14ac:dyDescent="0.25">
      <c r="A221" t="s">
        <v>3042</v>
      </c>
      <c r="B221" t="s">
        <v>1856</v>
      </c>
      <c r="C221" t="s">
        <v>1856</v>
      </c>
      <c r="D221">
        <v>32</v>
      </c>
      <c r="E221">
        <v>6</v>
      </c>
      <c r="F221">
        <v>9</v>
      </c>
      <c r="G221">
        <v>12</v>
      </c>
      <c r="H221" t="s">
        <v>2814</v>
      </c>
      <c r="I22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21" t="s">
        <v>226</v>
      </c>
      <c r="K221" t="str">
        <f>RIGHT(Tabla2[[#This Row],[codigo_producto]],LEN(Tabla2[[#This Row],[codigo_producto]])-FIND("/",Tabla2[[#This Row],[codigo_producto]]))</f>
        <v>RF4F13Z40</v>
      </c>
      <c r="L221" t="str">
        <f>LEFT(Tabla2[[#This Row],[codigo_producto]],FIND("/",Tabla2[[#This Row],[codigo_producto]])-1)</f>
        <v>2</v>
      </c>
      <c r="M22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22" spans="1:13" x14ac:dyDescent="0.25">
      <c r="A222" t="s">
        <v>3043</v>
      </c>
      <c r="B222" t="s">
        <v>1831</v>
      </c>
      <c r="C222" t="s">
        <v>1831</v>
      </c>
      <c r="D222">
        <v>32</v>
      </c>
      <c r="E222">
        <v>6</v>
      </c>
      <c r="F222">
        <v>9</v>
      </c>
      <c r="G222">
        <v>12</v>
      </c>
      <c r="H222" t="s">
        <v>2814</v>
      </c>
      <c r="I22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22" t="s">
        <v>227</v>
      </c>
      <c r="K222" t="str">
        <f>RIGHT(Tabla2[[#This Row],[codigo_producto]],LEN(Tabla2[[#This Row],[codigo_producto]])-FIND("/",Tabla2[[#This Row],[codigo_producto]]))</f>
        <v>TAY03328Z</v>
      </c>
      <c r="L222" t="str">
        <f>LEFT(Tabla2[[#This Row],[codigo_producto]],FIND("/",Tabla2[[#This Row],[codigo_producto]])-1)</f>
        <v>2</v>
      </c>
      <c r="M22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23" spans="1:13" x14ac:dyDescent="0.25">
      <c r="A223" t="s">
        <v>3044</v>
      </c>
      <c r="B223" t="s">
        <v>1857</v>
      </c>
      <c r="C223" t="s">
        <v>1857</v>
      </c>
      <c r="D223">
        <v>32</v>
      </c>
      <c r="E223">
        <v>6</v>
      </c>
      <c r="F223">
        <v>9</v>
      </c>
      <c r="G223">
        <v>12</v>
      </c>
      <c r="H223" t="s">
        <v>2814</v>
      </c>
      <c r="I22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23" t="s">
        <v>228</v>
      </c>
      <c r="K223" t="str">
        <f>RIGHT(Tabla2[[#This Row],[codigo_producto]],LEN(Tabla2[[#This Row],[codigo_producto]])-FIND("/",Tabla2[[#This Row],[codigo_producto]]))</f>
        <v>TK2150355</v>
      </c>
      <c r="L223" t="str">
        <f>LEFT(Tabla2[[#This Row],[codigo_producto]],FIND("/",Tabla2[[#This Row],[codigo_producto]])-1)</f>
        <v>2</v>
      </c>
      <c r="M22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24" spans="1:13" x14ac:dyDescent="0.25">
      <c r="A224" t="s">
        <v>3045</v>
      </c>
      <c r="B224" t="s">
        <v>1799</v>
      </c>
      <c r="C224" t="s">
        <v>1799</v>
      </c>
      <c r="D224">
        <v>32</v>
      </c>
      <c r="E224">
        <v>6</v>
      </c>
      <c r="F224">
        <v>9</v>
      </c>
      <c r="G224">
        <v>12</v>
      </c>
      <c r="H224" t="s">
        <v>2814</v>
      </c>
      <c r="I22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24" t="s">
        <v>229</v>
      </c>
      <c r="K224" t="str">
        <f>RIGHT(Tabla2[[#This Row],[codigo_producto]],LEN(Tabla2[[#This Row],[codigo_producto]])-FIND("/",Tabla2[[#This Row],[codigo_producto]]))</f>
        <v>TK4861J6X</v>
      </c>
      <c r="L224" t="str">
        <f>LEFT(Tabla2[[#This Row],[codigo_producto]],FIND("/",Tabla2[[#This Row],[codigo_producto]])-1)</f>
        <v>2</v>
      </c>
      <c r="M22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25" spans="1:13" x14ac:dyDescent="0.25">
      <c r="A225" t="s">
        <v>3046</v>
      </c>
      <c r="B225" t="s">
        <v>1858</v>
      </c>
      <c r="C225" t="s">
        <v>1858</v>
      </c>
      <c r="D225">
        <v>32</v>
      </c>
      <c r="E225">
        <v>6</v>
      </c>
      <c r="F225">
        <v>9</v>
      </c>
      <c r="G225">
        <v>12</v>
      </c>
      <c r="H225" t="s">
        <v>2814</v>
      </c>
      <c r="I22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25" t="s">
        <v>230</v>
      </c>
      <c r="K225" t="str">
        <f>RIGHT(Tabla2[[#This Row],[codigo_producto]],LEN(Tabla2[[#This Row],[codigo_producto]])-FIND("/",Tabla2[[#This Row],[codigo_producto]]))</f>
        <v>U20111303</v>
      </c>
      <c r="L225" t="str">
        <f>LEFT(Tabla2[[#This Row],[codigo_producto]],FIND("/",Tabla2[[#This Row],[codigo_producto]])-1)</f>
        <v>2</v>
      </c>
      <c r="M22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26" spans="1:13" x14ac:dyDescent="0.25">
      <c r="A226" t="s">
        <v>3047</v>
      </c>
      <c r="B226" t="s">
        <v>1859</v>
      </c>
      <c r="C226" t="s">
        <v>1859</v>
      </c>
      <c r="D226">
        <v>32</v>
      </c>
      <c r="E226">
        <v>6</v>
      </c>
      <c r="F226">
        <v>9</v>
      </c>
      <c r="G226">
        <v>12</v>
      </c>
      <c r="H226" t="s">
        <v>2814</v>
      </c>
      <c r="I22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26" t="s">
        <v>231</v>
      </c>
      <c r="K226" t="str">
        <f>RIGHT(Tabla2[[#This Row],[codigo_producto]],LEN(Tabla2[[#This Row],[codigo_producto]])-FIND("/",Tabla2[[#This Row],[codigo_producto]]))</f>
        <v>U2Y010YA0</v>
      </c>
      <c r="L226" t="str">
        <f>LEFT(Tabla2[[#This Row],[codigo_producto]],FIND("/",Tabla2[[#This Row],[codigo_producto]])-1)</f>
        <v>2</v>
      </c>
      <c r="M22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27" spans="1:13" x14ac:dyDescent="0.25">
      <c r="A227" t="s">
        <v>3048</v>
      </c>
      <c r="B227" t="s">
        <v>1860</v>
      </c>
      <c r="C227" t="s">
        <v>1860</v>
      </c>
      <c r="D227">
        <v>32</v>
      </c>
      <c r="E227">
        <v>6</v>
      </c>
      <c r="F227">
        <v>9</v>
      </c>
      <c r="G227">
        <v>12</v>
      </c>
      <c r="H227" t="s">
        <v>2814</v>
      </c>
      <c r="I22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27" t="s">
        <v>232</v>
      </c>
      <c r="K227" t="str">
        <f>RIGHT(Tabla2[[#This Row],[codigo_producto]],LEN(Tabla2[[#This Row],[codigo_producto]])-FIND("/",Tabla2[[#This Row],[codigo_producto]]))</f>
        <v>U6A116103</v>
      </c>
      <c r="L227" t="str">
        <f>LEFT(Tabla2[[#This Row],[codigo_producto]],FIND("/",Tabla2[[#This Row],[codigo_producto]])-1)</f>
        <v>2</v>
      </c>
      <c r="M22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28" spans="1:13" x14ac:dyDescent="0.25">
      <c r="A228" t="s">
        <v>3049</v>
      </c>
      <c r="B228" t="s">
        <v>1861</v>
      </c>
      <c r="C228" t="s">
        <v>1861</v>
      </c>
      <c r="D228">
        <v>32</v>
      </c>
      <c r="E228">
        <v>6</v>
      </c>
      <c r="F228">
        <v>9</v>
      </c>
      <c r="G228">
        <v>12</v>
      </c>
      <c r="H228" t="s">
        <v>2814</v>
      </c>
      <c r="I22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28" t="s">
        <v>233</v>
      </c>
      <c r="K228" t="str">
        <f>RIGHT(Tabla2[[#This Row],[codigo_producto]],LEN(Tabla2[[#This Row],[codigo_producto]])-FIND("/",Tabla2[[#This Row],[codigo_producto]]))</f>
        <v>UC2R26610</v>
      </c>
      <c r="L228" t="str">
        <f>LEFT(Tabla2[[#This Row],[codigo_producto]],FIND("/",Tabla2[[#This Row],[codigo_producto]])-1)</f>
        <v>2</v>
      </c>
      <c r="M22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29" spans="1:13" x14ac:dyDescent="0.25">
      <c r="A229" t="s">
        <v>3050</v>
      </c>
      <c r="B229" t="s">
        <v>1862</v>
      </c>
      <c r="C229" t="s">
        <v>1862</v>
      </c>
      <c r="D229">
        <v>32</v>
      </c>
      <c r="E229">
        <v>6</v>
      </c>
      <c r="F229">
        <v>9</v>
      </c>
      <c r="G229">
        <v>12</v>
      </c>
      <c r="H229" t="s">
        <v>2814</v>
      </c>
      <c r="I22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29" t="s">
        <v>234</v>
      </c>
      <c r="K229" t="str">
        <f>RIGHT(Tabla2[[#This Row],[codigo_producto]],LEN(Tabla2[[#This Row],[codigo_producto]])-FIND("/",Tabla2[[#This Row],[codigo_producto]]))</f>
        <v>UC9P51074</v>
      </c>
      <c r="L229" t="str">
        <f>LEFT(Tabla2[[#This Row],[codigo_producto]],FIND("/",Tabla2[[#This Row],[codigo_producto]])-1)</f>
        <v>2</v>
      </c>
      <c r="M22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30" spans="1:13" x14ac:dyDescent="0.25">
      <c r="A230" t="s">
        <v>3051</v>
      </c>
      <c r="B230" t="s">
        <v>1863</v>
      </c>
      <c r="C230" t="s">
        <v>1863</v>
      </c>
      <c r="D230">
        <v>32</v>
      </c>
      <c r="E230">
        <v>6</v>
      </c>
      <c r="F230">
        <v>9</v>
      </c>
      <c r="G230">
        <v>12</v>
      </c>
      <c r="H230" t="s">
        <v>2814</v>
      </c>
      <c r="I23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30" t="s">
        <v>235</v>
      </c>
      <c r="K230" t="str">
        <f>RIGHT(Tabla2[[#This Row],[codigo_producto]],LEN(Tabla2[[#This Row],[codigo_producto]])-FIND("/",Tabla2[[#This Row],[codigo_producto]]))</f>
        <v>UC9P51094</v>
      </c>
      <c r="L230" t="str">
        <f>LEFT(Tabla2[[#This Row],[codigo_producto]],FIND("/",Tabla2[[#This Row],[codigo_producto]])-1)</f>
        <v>2</v>
      </c>
      <c r="M23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31" spans="1:13" x14ac:dyDescent="0.25">
      <c r="A231" t="s">
        <v>3052</v>
      </c>
      <c r="B231" t="s">
        <v>1864</v>
      </c>
      <c r="C231" t="s">
        <v>1864</v>
      </c>
      <c r="D231">
        <v>32</v>
      </c>
      <c r="E231">
        <v>6</v>
      </c>
      <c r="F231">
        <v>9</v>
      </c>
      <c r="G231">
        <v>12</v>
      </c>
      <c r="H231" t="s">
        <v>2814</v>
      </c>
      <c r="I23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31" t="s">
        <v>236</v>
      </c>
      <c r="K231" t="str">
        <f>RIGHT(Tabla2[[#This Row],[codigo_producto]],LEN(Tabla2[[#This Row],[codigo_producto]])-FIND("/",Tabla2[[#This Row],[codigo_producto]]))</f>
        <v>UCYE3323Z</v>
      </c>
      <c r="L231" t="str">
        <f>LEFT(Tabla2[[#This Row],[codigo_producto]],FIND("/",Tabla2[[#This Row],[codigo_producto]])-1)</f>
        <v>2</v>
      </c>
      <c r="M23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32" spans="1:13" x14ac:dyDescent="0.25">
      <c r="A232" t="s">
        <v>3053</v>
      </c>
      <c r="B232" t="s">
        <v>1865</v>
      </c>
      <c r="C232" t="s">
        <v>1865</v>
      </c>
      <c r="D232">
        <v>32</v>
      </c>
      <c r="E232">
        <v>6</v>
      </c>
      <c r="F232">
        <v>9</v>
      </c>
      <c r="G232">
        <v>12</v>
      </c>
      <c r="H232" t="s">
        <v>2814</v>
      </c>
      <c r="I23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32" t="s">
        <v>237</v>
      </c>
      <c r="K232" t="str">
        <f>RIGHT(Tabla2[[#This Row],[codigo_producto]],LEN(Tabla2[[#This Row],[codigo_producto]])-FIND("/",Tabla2[[#This Row],[codigo_producto]]))</f>
        <v>UCYR2638Z</v>
      </c>
      <c r="L232" t="str">
        <f>LEFT(Tabla2[[#This Row],[codigo_producto]],FIND("/",Tabla2[[#This Row],[codigo_producto]])-1)</f>
        <v>2</v>
      </c>
      <c r="M23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33" spans="1:13" x14ac:dyDescent="0.25">
      <c r="A233" t="s">
        <v>3054</v>
      </c>
      <c r="B233" t="s">
        <v>1866</v>
      </c>
      <c r="C233" t="s">
        <v>1866</v>
      </c>
      <c r="D233">
        <v>32</v>
      </c>
      <c r="E233">
        <v>6</v>
      </c>
      <c r="F233">
        <v>9</v>
      </c>
      <c r="G233">
        <v>12</v>
      </c>
      <c r="H233" t="s">
        <v>2814</v>
      </c>
      <c r="I23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33" t="s">
        <v>238</v>
      </c>
      <c r="K233" t="str">
        <f>RIGHT(Tabla2[[#This Row],[codigo_producto]],LEN(Tabla2[[#This Row],[codigo_producto]])-FIND("/",Tabla2[[#This Row],[codigo_producto]]))</f>
        <v>UH0112613</v>
      </c>
      <c r="L233" t="str">
        <f>LEFT(Tabla2[[#This Row],[codigo_producto]],FIND("/",Tabla2[[#This Row],[codigo_producto]])-1)</f>
        <v>2</v>
      </c>
      <c r="M23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34" spans="1:13" x14ac:dyDescent="0.25">
      <c r="A234" t="s">
        <v>3055</v>
      </c>
      <c r="B234" t="s">
        <v>1867</v>
      </c>
      <c r="C234" t="s">
        <v>1867</v>
      </c>
      <c r="D234">
        <v>32</v>
      </c>
      <c r="E234">
        <v>6</v>
      </c>
      <c r="F234">
        <v>9</v>
      </c>
      <c r="G234">
        <v>12</v>
      </c>
      <c r="H234" t="s">
        <v>2814</v>
      </c>
      <c r="I23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34" t="s">
        <v>239</v>
      </c>
      <c r="K234" t="str">
        <f>RIGHT(Tabla2[[#This Row],[codigo_producto]],LEN(Tabla2[[#This Row],[codigo_producto]])-FIND("/",Tabla2[[#This Row],[codigo_producto]]))</f>
        <v>UH0212201</v>
      </c>
      <c r="L234" t="str">
        <f>LEFT(Tabla2[[#This Row],[codigo_producto]],FIND("/",Tabla2[[#This Row],[codigo_producto]])-1)</f>
        <v>2</v>
      </c>
      <c r="M23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35" spans="1:13" x14ac:dyDescent="0.25">
      <c r="A235" t="s">
        <v>3056</v>
      </c>
      <c r="B235" t="s">
        <v>1868</v>
      </c>
      <c r="C235" t="s">
        <v>1868</v>
      </c>
      <c r="D235">
        <v>32</v>
      </c>
      <c r="E235">
        <v>6</v>
      </c>
      <c r="F235">
        <v>9</v>
      </c>
      <c r="G235">
        <v>12</v>
      </c>
      <c r="H235" t="s">
        <v>2814</v>
      </c>
      <c r="I23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35" t="s">
        <v>240</v>
      </c>
      <c r="K235" t="str">
        <f>RIGHT(Tabla2[[#This Row],[codigo_producto]],LEN(Tabla2[[#This Row],[codigo_producto]])-FIND("/",Tabla2[[#This Row],[codigo_producto]]))</f>
        <v>UH0212700</v>
      </c>
      <c r="L235" t="str">
        <f>LEFT(Tabla2[[#This Row],[codigo_producto]],FIND("/",Tabla2[[#This Row],[codigo_producto]])-1)</f>
        <v>2</v>
      </c>
      <c r="M23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36" spans="1:13" x14ac:dyDescent="0.25">
      <c r="A236" t="s">
        <v>3057</v>
      </c>
      <c r="B236" t="s">
        <v>1869</v>
      </c>
      <c r="C236" t="s">
        <v>1869</v>
      </c>
      <c r="D236">
        <v>32</v>
      </c>
      <c r="E236">
        <v>6</v>
      </c>
      <c r="F236">
        <v>9</v>
      </c>
      <c r="G236">
        <v>12</v>
      </c>
      <c r="H236" t="s">
        <v>2814</v>
      </c>
      <c r="I23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36" t="s">
        <v>241</v>
      </c>
      <c r="K236" t="str">
        <f>RIGHT(Tabla2[[#This Row],[codigo_producto]],LEN(Tabla2[[#This Row],[codigo_producto]])-FIND("/",Tabla2[[#This Row],[codigo_producto]]))</f>
        <v>UH0412614</v>
      </c>
      <c r="L236" t="str">
        <f>LEFT(Tabla2[[#This Row],[codigo_producto]],FIND("/",Tabla2[[#This Row],[codigo_producto]])-1)</f>
        <v>2</v>
      </c>
      <c r="M23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37" spans="1:13" x14ac:dyDescent="0.25">
      <c r="A237" t="s">
        <v>3058</v>
      </c>
      <c r="B237" t="s">
        <v>1870</v>
      </c>
      <c r="C237" t="s">
        <v>1870</v>
      </c>
      <c r="D237">
        <v>32</v>
      </c>
      <c r="E237">
        <v>6</v>
      </c>
      <c r="F237">
        <v>9</v>
      </c>
      <c r="G237">
        <v>12</v>
      </c>
      <c r="H237" t="s">
        <v>2814</v>
      </c>
      <c r="I23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37" t="s">
        <v>242</v>
      </c>
      <c r="K237" t="str">
        <f>RIGHT(Tabla2[[#This Row],[codigo_producto]],LEN(Tabla2[[#This Row],[codigo_producto]])-FIND("/",Tabla2[[#This Row],[codigo_producto]]))</f>
        <v>UH7134136</v>
      </c>
      <c r="L237" t="str">
        <f>LEFT(Tabla2[[#This Row],[codigo_producto]],FIND("/",Tabla2[[#This Row],[codigo_producto]])-1)</f>
        <v>2</v>
      </c>
      <c r="M23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38" spans="1:13" x14ac:dyDescent="0.25">
      <c r="A238" t="s">
        <v>3059</v>
      </c>
      <c r="B238" t="s">
        <v>1871</v>
      </c>
      <c r="C238" t="s">
        <v>1871</v>
      </c>
      <c r="D238">
        <v>32</v>
      </c>
      <c r="E238">
        <v>6</v>
      </c>
      <c r="F238">
        <v>9</v>
      </c>
      <c r="G238">
        <v>12</v>
      </c>
      <c r="H238" t="s">
        <v>2814</v>
      </c>
      <c r="I23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38" t="s">
        <v>243</v>
      </c>
      <c r="K238" t="str">
        <f>RIGHT(Tabla2[[#This Row],[codigo_producto]],LEN(Tabla2[[#This Row],[codigo_producto]])-FIND("/",Tabla2[[#This Row],[codigo_producto]]))</f>
        <v>UH71510A1</v>
      </c>
      <c r="L238" t="str">
        <f>LEFT(Tabla2[[#This Row],[codigo_producto]],FIND("/",Tabla2[[#This Row],[codigo_producto]])-1)</f>
        <v>2</v>
      </c>
      <c r="M23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39" spans="1:13" x14ac:dyDescent="0.25">
      <c r="A239" t="s">
        <v>3060</v>
      </c>
      <c r="B239" t="s">
        <v>1872</v>
      </c>
      <c r="C239" t="s">
        <v>1872</v>
      </c>
      <c r="D239">
        <v>32</v>
      </c>
      <c r="E239">
        <v>6</v>
      </c>
      <c r="F239">
        <v>9</v>
      </c>
      <c r="G239">
        <v>12</v>
      </c>
      <c r="H239" t="s">
        <v>2814</v>
      </c>
      <c r="I23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39" t="s">
        <v>244</v>
      </c>
      <c r="K239" t="str">
        <f>RIGHT(Tabla2[[#This Row],[codigo_producto]],LEN(Tabla2[[#This Row],[codigo_producto]])-FIND("/",Tabla2[[#This Row],[codigo_producto]]))</f>
        <v>UHY12638Z</v>
      </c>
      <c r="L239" t="str">
        <f>LEFT(Tabla2[[#This Row],[codigo_producto]],FIND("/",Tabla2[[#This Row],[codigo_producto]])-1)</f>
        <v>2</v>
      </c>
      <c r="M23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40" spans="1:13" x14ac:dyDescent="0.25">
      <c r="A240" t="s">
        <v>3061</v>
      </c>
      <c r="B240" t="s">
        <v>1873</v>
      </c>
      <c r="C240" t="s">
        <v>1873</v>
      </c>
      <c r="D240">
        <v>32</v>
      </c>
      <c r="E240">
        <v>6</v>
      </c>
      <c r="F240">
        <v>9</v>
      </c>
      <c r="G240">
        <v>12</v>
      </c>
      <c r="H240" t="s">
        <v>2814</v>
      </c>
      <c r="I24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40" t="s">
        <v>245</v>
      </c>
      <c r="K240" t="str">
        <f>RIGHT(Tabla2[[#This Row],[codigo_producto]],LEN(Tabla2[[#This Row],[codigo_producto]])-FIND("/",Tabla2[[#This Row],[codigo_producto]]))</f>
        <v>UKY015908</v>
      </c>
      <c r="L240" t="str">
        <f>LEFT(Tabla2[[#This Row],[codigo_producto]],FIND("/",Tabla2[[#This Row],[codigo_producto]])-1)</f>
        <v>2</v>
      </c>
      <c r="M24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41" spans="1:13" x14ac:dyDescent="0.25">
      <c r="A241" t="s">
        <v>3062</v>
      </c>
      <c r="B241" t="s">
        <v>1874</v>
      </c>
      <c r="C241" t="s">
        <v>1874</v>
      </c>
      <c r="D241">
        <v>32</v>
      </c>
      <c r="E241">
        <v>6</v>
      </c>
      <c r="F241">
        <v>9</v>
      </c>
      <c r="G241">
        <v>12</v>
      </c>
      <c r="H241" t="s">
        <v>2814</v>
      </c>
      <c r="I24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41" t="s">
        <v>246</v>
      </c>
      <c r="K241" t="str">
        <f>RIGHT(Tabla2[[#This Row],[codigo_producto]],LEN(Tabla2[[#This Row],[codigo_producto]])-FIND("/",Tabla2[[#This Row],[codigo_producto]]))</f>
        <v>W90112700</v>
      </c>
      <c r="L241" t="str">
        <f>LEFT(Tabla2[[#This Row],[codigo_producto]],FIND("/",Tabla2[[#This Row],[codigo_producto]])-1)</f>
        <v>2</v>
      </c>
      <c r="M24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42" spans="1:13" x14ac:dyDescent="0.25">
      <c r="A242" t="s">
        <v>3063</v>
      </c>
      <c r="B242" t="s">
        <v>1875</v>
      </c>
      <c r="C242" t="s">
        <v>1875</v>
      </c>
      <c r="D242">
        <v>32</v>
      </c>
      <c r="E242">
        <v>6</v>
      </c>
      <c r="F242">
        <v>9</v>
      </c>
      <c r="G242">
        <v>12</v>
      </c>
      <c r="H242" t="s">
        <v>2814</v>
      </c>
      <c r="I24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42" t="s">
        <v>247</v>
      </c>
      <c r="K242" t="str">
        <f>RIGHT(Tabla2[[#This Row],[codigo_producto]],LEN(Tabla2[[#This Row],[codigo_producto]])-FIND("/",Tabla2[[#This Row],[codigo_producto]]))</f>
        <v>YF091046Y</v>
      </c>
      <c r="L242" t="str">
        <f>LEFT(Tabla2[[#This Row],[codigo_producto]],FIND("/",Tabla2[[#This Row],[codigo_producto]])-1)</f>
        <v>2</v>
      </c>
      <c r="M24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43" spans="1:13" x14ac:dyDescent="0.25">
      <c r="A243" t="s">
        <v>3064</v>
      </c>
      <c r="B243" t="s">
        <v>1793</v>
      </c>
      <c r="C243" t="s">
        <v>1793</v>
      </c>
      <c r="D243">
        <v>32</v>
      </c>
      <c r="E243">
        <v>6</v>
      </c>
      <c r="F243">
        <v>9</v>
      </c>
      <c r="G243">
        <v>12</v>
      </c>
      <c r="H243" t="s">
        <v>2814</v>
      </c>
      <c r="I24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43" t="s">
        <v>248</v>
      </c>
      <c r="K243" t="str">
        <f>RIGHT(Tabla2[[#This Row],[codigo_producto]],LEN(Tabla2[[#This Row],[codigo_producto]])-FIND("/",Tabla2[[#This Row],[codigo_producto]]))</f>
        <v>YF09104J5</v>
      </c>
      <c r="L243" t="str">
        <f>LEFT(Tabla2[[#This Row],[codigo_producto]],FIND("/",Tabla2[[#This Row],[codigo_producto]])-1)</f>
        <v>2</v>
      </c>
      <c r="M24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44" spans="1:13" x14ac:dyDescent="0.25">
      <c r="A244" t="s">
        <v>3065</v>
      </c>
      <c r="B244" t="s">
        <v>1715</v>
      </c>
      <c r="C244" t="s">
        <v>1715</v>
      </c>
      <c r="D244">
        <v>32</v>
      </c>
      <c r="E244">
        <v>6</v>
      </c>
      <c r="F244">
        <v>9</v>
      </c>
      <c r="G244">
        <v>12</v>
      </c>
      <c r="H244" t="s">
        <v>2814</v>
      </c>
      <c r="I24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44" t="s">
        <v>249</v>
      </c>
      <c r="K244" t="str">
        <f>RIGHT(Tabla2[[#This Row],[codigo_producto]],LEN(Tabla2[[#This Row],[codigo_producto]])-FIND("/",Tabla2[[#This Row],[codigo_producto]]))</f>
        <v>Z6E6133A0</v>
      </c>
      <c r="L244" t="str">
        <f>LEFT(Tabla2[[#This Row],[codigo_producto]],FIND("/",Tabla2[[#This Row],[codigo_producto]])-1)</f>
        <v>2</v>
      </c>
      <c r="M24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45" spans="1:13" x14ac:dyDescent="0.25">
      <c r="A245" t="s">
        <v>3066</v>
      </c>
      <c r="B245" t="s">
        <v>1876</v>
      </c>
      <c r="C245" t="s">
        <v>1876</v>
      </c>
      <c r="D245">
        <v>32</v>
      </c>
      <c r="E245">
        <v>6</v>
      </c>
      <c r="F245">
        <v>9</v>
      </c>
      <c r="G245">
        <v>12</v>
      </c>
      <c r="H245" t="s">
        <v>2814</v>
      </c>
      <c r="I24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45" t="s">
        <v>250</v>
      </c>
      <c r="K245" t="str">
        <f>RIGHT(Tabla2[[#This Row],[codigo_producto]],LEN(Tabla2[[#This Row],[codigo_producto]])-FIND("/",Tabla2[[#This Row],[codigo_producto]]))</f>
        <v>ZRB1W0GC0</v>
      </c>
      <c r="L245" t="str">
        <f>LEFT(Tabla2[[#This Row],[codigo_producto]],FIND("/",Tabla2[[#This Row],[codigo_producto]])-1)</f>
        <v>2</v>
      </c>
      <c r="M24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46" spans="1:13" x14ac:dyDescent="0.25">
      <c r="A246" t="s">
        <v>3067</v>
      </c>
      <c r="B246" t="s">
        <v>1877</v>
      </c>
      <c r="C246" t="s">
        <v>1877</v>
      </c>
      <c r="D246">
        <v>32</v>
      </c>
      <c r="E246">
        <v>6</v>
      </c>
      <c r="F246">
        <v>9</v>
      </c>
      <c r="G246">
        <v>12</v>
      </c>
      <c r="H246" t="s">
        <v>2814</v>
      </c>
      <c r="I24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46" t="s">
        <v>251</v>
      </c>
      <c r="K246" t="str">
        <f>RIGHT(Tabla2[[#This Row],[codigo_producto]],LEN(Tabla2[[#This Row],[codigo_producto]])-FIND("/",Tabla2[[#This Row],[codigo_producto]]))</f>
        <v>ZRC1W0GE0</v>
      </c>
      <c r="L246" t="str">
        <f>LEFT(Tabla2[[#This Row],[codigo_producto]],FIND("/",Tabla2[[#This Row],[codigo_producto]])-1)</f>
        <v>2</v>
      </c>
      <c r="M24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47" spans="1:13" x14ac:dyDescent="0.25">
      <c r="A247" t="s">
        <v>3068</v>
      </c>
      <c r="B247" t="s">
        <v>1878</v>
      </c>
      <c r="C247" t="s">
        <v>1878</v>
      </c>
      <c r="D247">
        <v>32</v>
      </c>
      <c r="E247">
        <v>7</v>
      </c>
      <c r="F247">
        <v>9</v>
      </c>
      <c r="G247">
        <v>12</v>
      </c>
      <c r="H247" t="s">
        <v>2814</v>
      </c>
      <c r="I24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47" t="s">
        <v>252</v>
      </c>
      <c r="K247" t="str">
        <f>RIGHT(Tabla2[[#This Row],[codigo_producto]],LEN(Tabla2[[#This Row],[codigo_producto]])-FIND("/",Tabla2[[#This Row],[codigo_producto]]))</f>
        <v>254558746</v>
      </c>
      <c r="L247" t="str">
        <f>LEFT(Tabla2[[#This Row],[codigo_producto]],FIND("/",Tabla2[[#This Row],[codigo_producto]])-1)</f>
        <v>3</v>
      </c>
      <c r="M24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248" spans="1:13" x14ac:dyDescent="0.25">
      <c r="A248" t="s">
        <v>3069</v>
      </c>
      <c r="B248" t="s">
        <v>1879</v>
      </c>
      <c r="C248" t="s">
        <v>1879</v>
      </c>
      <c r="D248">
        <v>32</v>
      </c>
      <c r="E248">
        <v>3</v>
      </c>
      <c r="F248">
        <v>9</v>
      </c>
      <c r="G248">
        <v>12</v>
      </c>
      <c r="H248" t="s">
        <v>2814</v>
      </c>
      <c r="I24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48" t="s">
        <v>253</v>
      </c>
      <c r="K248" t="str">
        <f>RIGHT(Tabla2[[#This Row],[codigo_producto]],LEN(Tabla2[[#This Row],[codigo_producto]])-FIND("/",Tabla2[[#This Row],[codigo_producto]]))</f>
        <v>12JB98277</v>
      </c>
      <c r="L248" t="str">
        <f>LEFT(Tabla2[[#This Row],[codigo_producto]],FIND("/",Tabla2[[#This Row],[codigo_producto]])-1)</f>
        <v>5</v>
      </c>
      <c r="M24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249" spans="1:13" x14ac:dyDescent="0.25">
      <c r="A249" t="s">
        <v>3070</v>
      </c>
      <c r="B249" t="s">
        <v>1880</v>
      </c>
      <c r="C249" t="s">
        <v>1880</v>
      </c>
      <c r="D249">
        <v>32</v>
      </c>
      <c r="E249">
        <v>3</v>
      </c>
      <c r="F249">
        <v>9</v>
      </c>
      <c r="G249">
        <v>12</v>
      </c>
      <c r="H249" t="s">
        <v>2814</v>
      </c>
      <c r="I24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49" t="s">
        <v>254</v>
      </c>
      <c r="K249" t="str">
        <f>RIGHT(Tabla2[[#This Row],[codigo_producto]],LEN(Tabla2[[#This Row],[codigo_producto]])-FIND("/",Tabla2[[#This Row],[codigo_producto]]))</f>
        <v>SMD115976</v>
      </c>
      <c r="L249" t="str">
        <f>LEFT(Tabla2[[#This Row],[codigo_producto]],FIND("/",Tabla2[[#This Row],[codigo_producto]])-1)</f>
        <v>5</v>
      </c>
      <c r="M24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250" spans="1:13" x14ac:dyDescent="0.25">
      <c r="A250" t="s">
        <v>3071</v>
      </c>
      <c r="B250" t="s">
        <v>1881</v>
      </c>
      <c r="C250" t="s">
        <v>1881</v>
      </c>
      <c r="D250">
        <v>32</v>
      </c>
      <c r="E250">
        <v>3</v>
      </c>
      <c r="F250">
        <v>9</v>
      </c>
      <c r="G250">
        <v>12</v>
      </c>
      <c r="H250" t="s">
        <v>2814</v>
      </c>
      <c r="I25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50" t="s">
        <v>255</v>
      </c>
      <c r="K250" t="str">
        <f>RIGHT(Tabla2[[#This Row],[codigo_producto]],LEN(Tabla2[[#This Row],[codigo_producto]])-FIND("/",Tabla2[[#This Row],[codigo_producto]]))</f>
        <v>SMD132260</v>
      </c>
      <c r="L250" t="str">
        <f>LEFT(Tabla2[[#This Row],[codigo_producto]],FIND("/",Tabla2[[#This Row],[codigo_producto]])-1)</f>
        <v>5</v>
      </c>
      <c r="M25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251" spans="1:13" x14ac:dyDescent="0.25">
      <c r="A251" t="s">
        <v>3072</v>
      </c>
      <c r="B251" t="s">
        <v>1882</v>
      </c>
      <c r="C251" t="s">
        <v>1882</v>
      </c>
      <c r="D251">
        <v>32</v>
      </c>
      <c r="E251">
        <v>3</v>
      </c>
      <c r="F251">
        <v>9</v>
      </c>
      <c r="G251">
        <v>12</v>
      </c>
      <c r="H251" t="s">
        <v>2814</v>
      </c>
      <c r="I25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51" t="s">
        <v>256</v>
      </c>
      <c r="K251" t="str">
        <f>RIGHT(Tabla2[[#This Row],[codigo_producto]],LEN(Tabla2[[#This Row],[codigo_producto]])-FIND("/",Tabla2[[#This Row],[codigo_producto]]))</f>
        <v>SMD182294</v>
      </c>
      <c r="L251" t="str">
        <f>LEFT(Tabla2[[#This Row],[codigo_producto]],FIND("/",Tabla2[[#This Row],[codigo_producto]])-1)</f>
        <v>5</v>
      </c>
      <c r="M25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252" spans="1:13" x14ac:dyDescent="0.25">
      <c r="A252" t="s">
        <v>3073</v>
      </c>
      <c r="B252" t="s">
        <v>1883</v>
      </c>
      <c r="C252" t="s">
        <v>1883</v>
      </c>
      <c r="D252">
        <v>32</v>
      </c>
      <c r="E252">
        <v>3</v>
      </c>
      <c r="F252">
        <v>9</v>
      </c>
      <c r="G252">
        <v>12</v>
      </c>
      <c r="H252" t="s">
        <v>2814</v>
      </c>
      <c r="I25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52" t="s">
        <v>257</v>
      </c>
      <c r="K252" t="str">
        <f>RIGHT(Tabla2[[#This Row],[codigo_producto]],LEN(Tabla2[[#This Row],[codigo_producto]])-FIND("/",Tabla2[[#This Row],[codigo_producto]]))</f>
        <v>SMD186125</v>
      </c>
      <c r="L252" t="str">
        <f>LEFT(Tabla2[[#This Row],[codigo_producto]],FIND("/",Tabla2[[#This Row],[codigo_producto]])-1)</f>
        <v>5</v>
      </c>
      <c r="M25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253" spans="1:13" x14ac:dyDescent="0.25">
      <c r="A253" t="s">
        <v>3074</v>
      </c>
      <c r="B253" t="s">
        <v>1839</v>
      </c>
      <c r="C253" t="s">
        <v>1839</v>
      </c>
      <c r="D253">
        <v>32</v>
      </c>
      <c r="E253">
        <v>3</v>
      </c>
      <c r="F253">
        <v>9</v>
      </c>
      <c r="G253">
        <v>12</v>
      </c>
      <c r="H253" t="s">
        <v>2814</v>
      </c>
      <c r="I25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53" t="s">
        <v>258</v>
      </c>
      <c r="K253" t="str">
        <f>RIGHT(Tabla2[[#This Row],[codigo_producto]],LEN(Tabla2[[#This Row],[codigo_producto]])-FIND("/",Tabla2[[#This Row],[codigo_producto]]))</f>
        <v>SMN158596</v>
      </c>
      <c r="L253" t="str">
        <f>LEFT(Tabla2[[#This Row],[codigo_producto]],FIND("/",Tabla2[[#This Row],[codigo_producto]])-1)</f>
        <v>5</v>
      </c>
      <c r="M25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254" spans="1:13" x14ac:dyDescent="0.25">
      <c r="A254" t="s">
        <v>3075</v>
      </c>
      <c r="B254" t="s">
        <v>1884</v>
      </c>
      <c r="C254" t="s">
        <v>1884</v>
      </c>
      <c r="D254">
        <v>32</v>
      </c>
      <c r="E254">
        <v>3</v>
      </c>
      <c r="F254">
        <v>9</v>
      </c>
      <c r="G254">
        <v>12</v>
      </c>
      <c r="H254" t="s">
        <v>2814</v>
      </c>
      <c r="I25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54" t="s">
        <v>259</v>
      </c>
      <c r="K254" t="str">
        <f>RIGHT(Tabla2[[#This Row],[codigo_producto]],LEN(Tabla2[[#This Row],[codigo_producto]])-FIND("/",Tabla2[[#This Row],[codigo_producto]]))</f>
        <v>SMW253694</v>
      </c>
      <c r="L254" t="str">
        <f>LEFT(Tabla2[[#This Row],[codigo_producto]],FIND("/",Tabla2[[#This Row],[codigo_producto]])-1)</f>
        <v>5</v>
      </c>
      <c r="M25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255" spans="1:13" x14ac:dyDescent="0.25">
      <c r="A255" t="s">
        <v>3076</v>
      </c>
      <c r="B255" t="s">
        <v>1885</v>
      </c>
      <c r="C255" t="s">
        <v>1885</v>
      </c>
      <c r="D255">
        <v>32</v>
      </c>
      <c r="E255">
        <v>3</v>
      </c>
      <c r="F255">
        <v>9</v>
      </c>
      <c r="G255">
        <v>12</v>
      </c>
      <c r="H255" t="s">
        <v>2814</v>
      </c>
      <c r="I25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55" t="s">
        <v>260</v>
      </c>
      <c r="K255" t="str">
        <f>RIGHT(Tabla2[[#This Row],[codigo_producto]],LEN(Tabla2[[#This Row],[codigo_producto]])-FIND("/",Tabla2[[#This Row],[codigo_producto]]))</f>
        <v>XAA32009X</v>
      </c>
      <c r="L255" t="str">
        <f>LEFT(Tabla2[[#This Row],[codigo_producto]],FIND("/",Tabla2[[#This Row],[codigo_producto]])-1)</f>
        <v>5</v>
      </c>
      <c r="M25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256" spans="1:13" x14ac:dyDescent="0.25">
      <c r="A256" t="s">
        <v>3077</v>
      </c>
      <c r="B256" t="s">
        <v>1886</v>
      </c>
      <c r="C256" t="s">
        <v>1886</v>
      </c>
      <c r="D256">
        <v>32</v>
      </c>
      <c r="E256">
        <v>4</v>
      </c>
      <c r="F256">
        <v>9</v>
      </c>
      <c r="G256">
        <v>12</v>
      </c>
      <c r="H256" t="s">
        <v>2814</v>
      </c>
      <c r="I25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56" t="s">
        <v>261</v>
      </c>
      <c r="K256" t="str">
        <f>RIGHT(Tabla2[[#This Row],[codigo_producto]],LEN(Tabla2[[#This Row],[codigo_producto]])-FIND("/",Tabla2[[#This Row],[codigo_producto]]))</f>
        <v>KITSEGH1</v>
      </c>
      <c r="L256" t="str">
        <f>LEFT(Tabla2[[#This Row],[codigo_producto]],FIND("/",Tabla2[[#This Row],[codigo_producto]])-1)</f>
        <v>58</v>
      </c>
      <c r="M25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4</v>
      </c>
    </row>
    <row r="257" spans="1:13" x14ac:dyDescent="0.25">
      <c r="A257" t="s">
        <v>3078</v>
      </c>
      <c r="B257" t="s">
        <v>1887</v>
      </c>
      <c r="C257" t="s">
        <v>1887</v>
      </c>
      <c r="D257">
        <v>22</v>
      </c>
      <c r="E257">
        <v>2</v>
      </c>
      <c r="F257">
        <v>9</v>
      </c>
      <c r="G257">
        <v>12</v>
      </c>
      <c r="H257" t="s">
        <v>2815</v>
      </c>
      <c r="I25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257" t="s">
        <v>262</v>
      </c>
      <c r="K257" t="str">
        <f>RIGHT(Tabla2[[#This Row],[codigo_producto]],LEN(Tabla2[[#This Row],[codigo_producto]])-FIND("/",Tabla2[[#This Row],[codigo_producto]]))</f>
        <v>KITSEGC4</v>
      </c>
      <c r="L257" t="str">
        <f>LEFT(Tabla2[[#This Row],[codigo_producto]],FIND("/",Tabla2[[#This Row],[codigo_producto]])-1)</f>
        <v>59</v>
      </c>
      <c r="M25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258" spans="1:13" x14ac:dyDescent="0.25">
      <c r="A258" t="s">
        <v>3079</v>
      </c>
      <c r="B258" t="s">
        <v>1888</v>
      </c>
      <c r="C258" t="s">
        <v>1888</v>
      </c>
      <c r="D258">
        <v>32</v>
      </c>
      <c r="E258">
        <v>1</v>
      </c>
      <c r="F258">
        <v>9</v>
      </c>
      <c r="G258">
        <v>12</v>
      </c>
      <c r="H258" t="s">
        <v>2814</v>
      </c>
      <c r="I25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58" t="s">
        <v>263</v>
      </c>
      <c r="K258" t="str">
        <f>RIGHT(Tabla2[[#This Row],[codigo_producto]],LEN(Tabla2[[#This Row],[codigo_producto]])-FIND("/",Tabla2[[#This Row],[codigo_producto]]))</f>
        <v>DA0070900</v>
      </c>
      <c r="L258" t="str">
        <f>LEFT(Tabla2[[#This Row],[codigo_producto]],FIND("/",Tabla2[[#This Row],[codigo_producto]])-1)</f>
        <v>6</v>
      </c>
      <c r="M25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259" spans="1:13" x14ac:dyDescent="0.25">
      <c r="A259" t="s">
        <v>3080</v>
      </c>
      <c r="B259" t="s">
        <v>1889</v>
      </c>
      <c r="C259" t="s">
        <v>1889</v>
      </c>
      <c r="D259">
        <v>32</v>
      </c>
      <c r="E259">
        <v>1</v>
      </c>
      <c r="F259">
        <v>9</v>
      </c>
      <c r="G259">
        <v>12</v>
      </c>
      <c r="H259" t="s">
        <v>2814</v>
      </c>
      <c r="I25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59" t="s">
        <v>264</v>
      </c>
      <c r="K259" t="str">
        <f>RIGHT(Tabla2[[#This Row],[codigo_producto]],LEN(Tabla2[[#This Row],[codigo_producto]])-FIND("/",Tabla2[[#This Row],[codigo_producto]]))</f>
        <v>DA0100400</v>
      </c>
      <c r="L259" t="str">
        <f>LEFT(Tabla2[[#This Row],[codigo_producto]],FIND("/",Tabla2[[#This Row],[codigo_producto]])-1)</f>
        <v>6</v>
      </c>
      <c r="M25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260" spans="1:13" x14ac:dyDescent="0.25">
      <c r="A260" t="s">
        <v>3081</v>
      </c>
      <c r="B260" t="s">
        <v>1890</v>
      </c>
      <c r="C260" t="s">
        <v>1890</v>
      </c>
      <c r="D260">
        <v>32</v>
      </c>
      <c r="E260">
        <v>1</v>
      </c>
      <c r="F260">
        <v>9</v>
      </c>
      <c r="G260">
        <v>12</v>
      </c>
      <c r="H260" t="s">
        <v>2814</v>
      </c>
      <c r="I26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60" t="s">
        <v>265</v>
      </c>
      <c r="K260" t="str">
        <f>RIGHT(Tabla2[[#This Row],[codigo_producto]],LEN(Tabla2[[#This Row],[codigo_producto]])-FIND("/",Tabla2[[#This Row],[codigo_producto]]))</f>
        <v>DA0130400</v>
      </c>
      <c r="L260" t="str">
        <f>LEFT(Tabla2[[#This Row],[codigo_producto]],FIND("/",Tabla2[[#This Row],[codigo_producto]])-1)</f>
        <v>6</v>
      </c>
      <c r="M26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261" spans="1:13" x14ac:dyDescent="0.25">
      <c r="A261" t="s">
        <v>3082</v>
      </c>
      <c r="B261" t="s">
        <v>1891</v>
      </c>
      <c r="C261" t="s">
        <v>1891</v>
      </c>
      <c r="D261">
        <v>32</v>
      </c>
      <c r="E261">
        <v>1</v>
      </c>
      <c r="F261">
        <v>9</v>
      </c>
      <c r="G261">
        <v>12</v>
      </c>
      <c r="H261" t="s">
        <v>2814</v>
      </c>
      <c r="I26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61" t="s">
        <v>266</v>
      </c>
      <c r="K261" t="str">
        <f>RIGHT(Tabla2[[#This Row],[codigo_producto]],LEN(Tabla2[[#This Row],[codigo_producto]])-FIND("/",Tabla2[[#This Row],[codigo_producto]]))</f>
        <v>DA0181200</v>
      </c>
      <c r="L261" t="str">
        <f>LEFT(Tabla2[[#This Row],[codigo_producto]],FIND("/",Tabla2[[#This Row],[codigo_producto]])-1)</f>
        <v>6</v>
      </c>
      <c r="M26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262" spans="1:13" x14ac:dyDescent="0.25">
      <c r="A262" t="s">
        <v>3083</v>
      </c>
      <c r="B262" t="s">
        <v>1892</v>
      </c>
      <c r="C262" t="s">
        <v>1892</v>
      </c>
      <c r="D262">
        <v>32</v>
      </c>
      <c r="E262">
        <v>1</v>
      </c>
      <c r="F262">
        <v>9</v>
      </c>
      <c r="G262">
        <v>12</v>
      </c>
      <c r="H262" t="s">
        <v>2814</v>
      </c>
      <c r="I26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62" t="s">
        <v>267</v>
      </c>
      <c r="K262" t="str">
        <f>RIGHT(Tabla2[[#This Row],[codigo_producto]],LEN(Tabla2[[#This Row],[codigo_producto]])-FIND("/",Tabla2[[#This Row],[codigo_producto]]))</f>
        <v>DA0280400</v>
      </c>
      <c r="L262" t="str">
        <f>LEFT(Tabla2[[#This Row],[codigo_producto]],FIND("/",Tabla2[[#This Row],[codigo_producto]])-1)</f>
        <v>6</v>
      </c>
      <c r="M26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263" spans="1:13" x14ac:dyDescent="0.25">
      <c r="A263" t="s">
        <v>3084</v>
      </c>
      <c r="B263" t="s">
        <v>1893</v>
      </c>
      <c r="C263" t="s">
        <v>1893</v>
      </c>
      <c r="D263">
        <v>32</v>
      </c>
      <c r="E263">
        <v>1</v>
      </c>
      <c r="F263">
        <v>9</v>
      </c>
      <c r="G263">
        <v>12</v>
      </c>
      <c r="H263" t="s">
        <v>2814</v>
      </c>
      <c r="I26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63" t="s">
        <v>268</v>
      </c>
      <c r="K263" t="str">
        <f>RIGHT(Tabla2[[#This Row],[codigo_producto]],LEN(Tabla2[[#This Row],[codigo_producto]])-FIND("/",Tabla2[[#This Row],[codigo_producto]]))</f>
        <v>DA0360200</v>
      </c>
      <c r="L263" t="str">
        <f>LEFT(Tabla2[[#This Row],[codigo_producto]],FIND("/",Tabla2[[#This Row],[codigo_producto]])-1)</f>
        <v>6</v>
      </c>
      <c r="M26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264" spans="1:13" x14ac:dyDescent="0.25">
      <c r="A264" t="s">
        <v>3085</v>
      </c>
      <c r="B264" t="s">
        <v>1803</v>
      </c>
      <c r="C264" t="s">
        <v>1803</v>
      </c>
      <c r="D264">
        <v>32</v>
      </c>
      <c r="E264">
        <v>1</v>
      </c>
      <c r="F264">
        <v>9</v>
      </c>
      <c r="G264">
        <v>12</v>
      </c>
      <c r="H264" t="s">
        <v>2814</v>
      </c>
      <c r="I26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64" t="s">
        <v>269</v>
      </c>
      <c r="K264" t="str">
        <f>RIGHT(Tabla2[[#This Row],[codigo_producto]],LEN(Tabla2[[#This Row],[codigo_producto]])-FIND("/",Tabla2[[#This Row],[codigo_producto]]))</f>
        <v>EA0101200</v>
      </c>
      <c r="L264" t="str">
        <f>LEFT(Tabla2[[#This Row],[codigo_producto]],FIND("/",Tabla2[[#This Row],[codigo_producto]])-1)</f>
        <v>6</v>
      </c>
      <c r="M26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265" spans="1:13" x14ac:dyDescent="0.25">
      <c r="A265" t="s">
        <v>3086</v>
      </c>
      <c r="B265" t="s">
        <v>1839</v>
      </c>
      <c r="C265" t="s">
        <v>1839</v>
      </c>
      <c r="D265">
        <v>32</v>
      </c>
      <c r="E265">
        <v>1</v>
      </c>
      <c r="F265">
        <v>9</v>
      </c>
      <c r="G265">
        <v>12</v>
      </c>
      <c r="H265" t="s">
        <v>2814</v>
      </c>
      <c r="I26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65" t="s">
        <v>270</v>
      </c>
      <c r="K265" t="str">
        <f>RIGHT(Tabla2[[#This Row],[codigo_producto]],LEN(Tabla2[[#This Row],[codigo_producto]])-FIND("/",Tabla2[[#This Row],[codigo_producto]]))</f>
        <v>EA0120400</v>
      </c>
      <c r="L265" t="str">
        <f>LEFT(Tabla2[[#This Row],[codigo_producto]],FIND("/",Tabla2[[#This Row],[codigo_producto]])-1)</f>
        <v>6</v>
      </c>
      <c r="M26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266" spans="1:13" x14ac:dyDescent="0.25">
      <c r="A266" t="s">
        <v>3087</v>
      </c>
      <c r="B266" t="s">
        <v>1894</v>
      </c>
      <c r="C266" t="s">
        <v>1894</v>
      </c>
      <c r="D266">
        <v>32</v>
      </c>
      <c r="E266">
        <v>1</v>
      </c>
      <c r="F266">
        <v>9</v>
      </c>
      <c r="G266">
        <v>12</v>
      </c>
      <c r="H266" t="s">
        <v>2814</v>
      </c>
      <c r="I26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66" t="s">
        <v>271</v>
      </c>
      <c r="K266" t="str">
        <f>RIGHT(Tabla2[[#This Row],[codigo_producto]],LEN(Tabla2[[#This Row],[codigo_producto]])-FIND("/",Tabla2[[#This Row],[codigo_producto]]))</f>
        <v>EA0121600</v>
      </c>
      <c r="L266" t="str">
        <f>LEFT(Tabla2[[#This Row],[codigo_producto]],FIND("/",Tabla2[[#This Row],[codigo_producto]])-1)</f>
        <v>6</v>
      </c>
      <c r="M26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267" spans="1:13" x14ac:dyDescent="0.25">
      <c r="A267" t="s">
        <v>3088</v>
      </c>
      <c r="B267" t="s">
        <v>1895</v>
      </c>
      <c r="C267" t="s">
        <v>1895</v>
      </c>
      <c r="D267">
        <v>32</v>
      </c>
      <c r="E267">
        <v>1</v>
      </c>
      <c r="F267">
        <v>9</v>
      </c>
      <c r="G267">
        <v>12</v>
      </c>
      <c r="H267" t="s">
        <v>2814</v>
      </c>
      <c r="I26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67" t="s">
        <v>272</v>
      </c>
      <c r="K267" t="str">
        <f>RIGHT(Tabla2[[#This Row],[codigo_producto]],LEN(Tabla2[[#This Row],[codigo_producto]])-FIND("/",Tabla2[[#This Row],[codigo_producto]]))</f>
        <v>KITSEGM90</v>
      </c>
      <c r="L267" t="str">
        <f>LEFT(Tabla2[[#This Row],[codigo_producto]],FIND("/",Tabla2[[#This Row],[codigo_producto]])-1)</f>
        <v>6</v>
      </c>
      <c r="M26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268" spans="1:13" x14ac:dyDescent="0.25">
      <c r="A268" t="s">
        <v>3089</v>
      </c>
      <c r="B268" t="s">
        <v>1896</v>
      </c>
      <c r="C268" t="s">
        <v>1896</v>
      </c>
      <c r="D268">
        <v>32</v>
      </c>
      <c r="E268">
        <v>1</v>
      </c>
      <c r="F268">
        <v>9</v>
      </c>
      <c r="G268">
        <v>12</v>
      </c>
      <c r="H268" t="s">
        <v>2814</v>
      </c>
      <c r="I26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68" t="s">
        <v>273</v>
      </c>
      <c r="K268" t="str">
        <f>RIGHT(Tabla2[[#This Row],[codigo_producto]],LEN(Tabla2[[#This Row],[codigo_producto]])-FIND("/",Tabla2[[#This Row],[codigo_producto]]))</f>
        <v>Y016050RL</v>
      </c>
      <c r="L268" t="str">
        <f>LEFT(Tabla2[[#This Row],[codigo_producto]],FIND("/",Tabla2[[#This Row],[codigo_producto]])-1)</f>
        <v>6</v>
      </c>
      <c r="M26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269" spans="1:13" x14ac:dyDescent="0.25">
      <c r="A269" t="s">
        <v>3090</v>
      </c>
      <c r="B269" t="s">
        <v>1897</v>
      </c>
      <c r="C269" t="s">
        <v>1897</v>
      </c>
      <c r="D269">
        <v>32</v>
      </c>
      <c r="E269">
        <v>5</v>
      </c>
      <c r="F269">
        <v>9</v>
      </c>
      <c r="G269">
        <v>12</v>
      </c>
      <c r="H269" t="s">
        <v>2814</v>
      </c>
      <c r="I26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69" t="s">
        <v>274</v>
      </c>
      <c r="K269" t="str">
        <f>RIGHT(Tabla2[[#This Row],[codigo_producto]],LEN(Tabla2[[#This Row],[codigo_producto]])-FIND("/",Tabla2[[#This Row],[codigo_producto]]))</f>
        <v>1002017FB</v>
      </c>
      <c r="L269" t="str">
        <f>LEFT(Tabla2[[#This Row],[codigo_producto]],FIND("/",Tabla2[[#This Row],[codigo_producto]])-1)</f>
        <v>7</v>
      </c>
      <c r="M26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270" spans="1:13" x14ac:dyDescent="0.25">
      <c r="A270" t="s">
        <v>3091</v>
      </c>
      <c r="B270" t="s">
        <v>1898</v>
      </c>
      <c r="C270" t="s">
        <v>1898</v>
      </c>
      <c r="D270">
        <v>32</v>
      </c>
      <c r="E270">
        <v>5</v>
      </c>
      <c r="F270">
        <v>9</v>
      </c>
      <c r="G270">
        <v>12</v>
      </c>
      <c r="H270" t="s">
        <v>2814</v>
      </c>
      <c r="I27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70" t="s">
        <v>275</v>
      </c>
      <c r="K270" t="str">
        <f>RIGHT(Tabla2[[#This Row],[codigo_producto]],LEN(Tabla2[[#This Row],[codigo_producto]])-FIND("/",Tabla2[[#This Row],[codigo_producto]]))</f>
        <v>1003037GA</v>
      </c>
      <c r="L270" t="str">
        <f>LEFT(Tabla2[[#This Row],[codigo_producto]],FIND("/",Tabla2[[#This Row],[codigo_producto]])-1)</f>
        <v>7</v>
      </c>
      <c r="M27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271" spans="1:13" x14ac:dyDescent="0.25">
      <c r="A271" t="s">
        <v>3092</v>
      </c>
      <c r="B271" t="s">
        <v>1899</v>
      </c>
      <c r="C271" t="s">
        <v>1899</v>
      </c>
      <c r="D271">
        <v>32</v>
      </c>
      <c r="E271">
        <v>5</v>
      </c>
      <c r="F271">
        <v>9</v>
      </c>
      <c r="G271">
        <v>12</v>
      </c>
      <c r="H271" t="s">
        <v>2814</v>
      </c>
      <c r="I27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71" t="s">
        <v>276</v>
      </c>
      <c r="K271" t="str">
        <f>RIGHT(Tabla2[[#This Row],[codigo_producto]],LEN(Tabla2[[#This Row],[codigo_producto]])-FIND("/",Tabla2[[#This Row],[codigo_producto]]))</f>
        <v>1003040FB</v>
      </c>
      <c r="L271" t="str">
        <f>LEFT(Tabla2[[#This Row],[codigo_producto]],FIND("/",Tabla2[[#This Row],[codigo_producto]])-1)</f>
        <v>7</v>
      </c>
      <c r="M27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272" spans="1:13" x14ac:dyDescent="0.25">
      <c r="A272" t="s">
        <v>3093</v>
      </c>
      <c r="B272" t="s">
        <v>1712</v>
      </c>
      <c r="C272" t="s">
        <v>1712</v>
      </c>
      <c r="D272">
        <v>32</v>
      </c>
      <c r="E272">
        <v>5</v>
      </c>
      <c r="F272">
        <v>9</v>
      </c>
      <c r="G272">
        <v>12</v>
      </c>
      <c r="H272" t="s">
        <v>2814</v>
      </c>
      <c r="I27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72" t="s">
        <v>277</v>
      </c>
      <c r="K272" t="str">
        <f>RIGHT(Tabla2[[#This Row],[codigo_producto]],LEN(Tabla2[[#This Row],[codigo_producto]])-FIND("/",Tabla2[[#This Row],[codigo_producto]]))</f>
        <v>1010210GA</v>
      </c>
      <c r="L272" t="str">
        <f>LEFT(Tabla2[[#This Row],[codigo_producto]],FIND("/",Tabla2[[#This Row],[codigo_producto]])-1)</f>
        <v>7</v>
      </c>
      <c r="M27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273" spans="1:13" x14ac:dyDescent="0.25">
      <c r="A273" t="s">
        <v>3094</v>
      </c>
      <c r="B273" t="s">
        <v>1900</v>
      </c>
      <c r="C273" t="s">
        <v>1900</v>
      </c>
      <c r="D273">
        <v>32</v>
      </c>
      <c r="E273">
        <v>5</v>
      </c>
      <c r="F273">
        <v>9</v>
      </c>
      <c r="G273">
        <v>12</v>
      </c>
      <c r="H273" t="s">
        <v>2814</v>
      </c>
      <c r="I27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73" t="s">
        <v>278</v>
      </c>
      <c r="K273" t="str">
        <f>RIGHT(Tabla2[[#This Row],[codigo_producto]],LEN(Tabla2[[#This Row],[codigo_producto]])-FIND("/",Tabla2[[#This Row],[codigo_producto]]))</f>
        <v>1015404GA</v>
      </c>
      <c r="L273" t="str">
        <f>LEFT(Tabla2[[#This Row],[codigo_producto]],FIND("/",Tabla2[[#This Row],[codigo_producto]])-1)</f>
        <v>7</v>
      </c>
      <c r="M27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274" spans="1:13" x14ac:dyDescent="0.25">
      <c r="A274" t="s">
        <v>3095</v>
      </c>
      <c r="B274" t="s">
        <v>1901</v>
      </c>
      <c r="C274" t="s">
        <v>1901</v>
      </c>
      <c r="D274">
        <v>32</v>
      </c>
      <c r="E274">
        <v>5</v>
      </c>
      <c r="F274">
        <v>9</v>
      </c>
      <c r="G274">
        <v>12</v>
      </c>
      <c r="H274" t="s">
        <v>2814</v>
      </c>
      <c r="I27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74" t="s">
        <v>279</v>
      </c>
      <c r="K274" t="str">
        <f>RIGHT(Tabla2[[#This Row],[codigo_producto]],LEN(Tabla2[[#This Row],[codigo_producto]])-FIND("/",Tabla2[[#This Row],[codigo_producto]]))</f>
        <v>1023609GA</v>
      </c>
      <c r="L274" t="str">
        <f>LEFT(Tabla2[[#This Row],[codigo_producto]],FIND("/",Tabla2[[#This Row],[codigo_producto]])-1)</f>
        <v>7</v>
      </c>
      <c r="M27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275" spans="1:13" x14ac:dyDescent="0.25">
      <c r="A275" t="s">
        <v>3096</v>
      </c>
      <c r="B275" t="s">
        <v>1901</v>
      </c>
      <c r="C275" t="s">
        <v>1901</v>
      </c>
      <c r="D275">
        <v>32</v>
      </c>
      <c r="E275">
        <v>5</v>
      </c>
      <c r="F275">
        <v>9</v>
      </c>
      <c r="G275">
        <v>12</v>
      </c>
      <c r="H275" t="s">
        <v>2814</v>
      </c>
      <c r="I27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75" t="s">
        <v>280</v>
      </c>
      <c r="K275" t="str">
        <f>RIGHT(Tabla2[[#This Row],[codigo_producto]],LEN(Tabla2[[#This Row],[codigo_producto]])-FIND("/",Tabla2[[#This Row],[codigo_producto]]))</f>
        <v>1023611GA</v>
      </c>
      <c r="L275" t="str">
        <f>LEFT(Tabla2[[#This Row],[codigo_producto]],FIND("/",Tabla2[[#This Row],[codigo_producto]])-1)</f>
        <v>7</v>
      </c>
      <c r="M27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276" spans="1:13" x14ac:dyDescent="0.25">
      <c r="A276" t="s">
        <v>3097</v>
      </c>
      <c r="B276" t="s">
        <v>1803</v>
      </c>
      <c r="C276" t="s">
        <v>1803</v>
      </c>
      <c r="D276">
        <v>32</v>
      </c>
      <c r="E276">
        <v>5</v>
      </c>
      <c r="F276">
        <v>9</v>
      </c>
      <c r="G276">
        <v>12</v>
      </c>
      <c r="H276" t="s">
        <v>2814</v>
      </c>
      <c r="I27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76" t="s">
        <v>281</v>
      </c>
      <c r="K276" t="str">
        <f>RIGHT(Tabla2[[#This Row],[codigo_producto]],LEN(Tabla2[[#This Row],[codigo_producto]])-FIND("/",Tabla2[[#This Row],[codigo_producto]]))</f>
        <v>1027305GA</v>
      </c>
      <c r="L276" t="str">
        <f>LEFT(Tabla2[[#This Row],[codigo_producto]],FIND("/",Tabla2[[#This Row],[codigo_producto]])-1)</f>
        <v>7</v>
      </c>
      <c r="M27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277" spans="1:13" x14ac:dyDescent="0.25">
      <c r="A277" t="s">
        <v>3098</v>
      </c>
      <c r="B277" t="s">
        <v>1902</v>
      </c>
      <c r="C277" t="s">
        <v>1902</v>
      </c>
      <c r="D277">
        <v>32</v>
      </c>
      <c r="E277">
        <v>5</v>
      </c>
      <c r="F277">
        <v>9</v>
      </c>
      <c r="G277">
        <v>12</v>
      </c>
      <c r="H277" t="s">
        <v>2814</v>
      </c>
      <c r="I27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77" t="s">
        <v>282</v>
      </c>
      <c r="K277" t="str">
        <f>RIGHT(Tabla2[[#This Row],[codigo_producto]],LEN(Tabla2[[#This Row],[codigo_producto]])-FIND("/",Tabla2[[#This Row],[codigo_producto]]))</f>
        <v>C5300515L</v>
      </c>
      <c r="L277" t="str">
        <f>LEFT(Tabla2[[#This Row],[codigo_producto]],FIND("/",Tabla2[[#This Row],[codigo_producto]])-1)</f>
        <v>7</v>
      </c>
      <c r="M27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278" spans="1:13" x14ac:dyDescent="0.25">
      <c r="A278" t="s">
        <v>3099</v>
      </c>
      <c r="B278" t="s">
        <v>1903</v>
      </c>
      <c r="C278" t="s">
        <v>1903</v>
      </c>
      <c r="D278">
        <v>32</v>
      </c>
      <c r="E278">
        <v>5</v>
      </c>
      <c r="F278">
        <v>9</v>
      </c>
      <c r="G278">
        <v>12</v>
      </c>
      <c r="H278" t="s">
        <v>2814</v>
      </c>
      <c r="I27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78" t="s">
        <v>283</v>
      </c>
      <c r="K278" t="str">
        <f>RIGHT(Tabla2[[#This Row],[codigo_producto]],LEN(Tabla2[[#This Row],[codigo_producto]])-FIND("/",Tabla2[[#This Row],[codigo_producto]]))</f>
        <v>KITMANTT8</v>
      </c>
      <c r="L278" t="str">
        <f>LEFT(Tabla2[[#This Row],[codigo_producto]],FIND("/",Tabla2[[#This Row],[codigo_producto]])-1)</f>
        <v>7</v>
      </c>
      <c r="M27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279" spans="1:13" x14ac:dyDescent="0.25">
      <c r="A279" t="s">
        <v>3100</v>
      </c>
      <c r="B279" t="s">
        <v>1904</v>
      </c>
      <c r="C279" t="s">
        <v>1904</v>
      </c>
      <c r="D279">
        <v>32</v>
      </c>
      <c r="E279">
        <v>5</v>
      </c>
      <c r="F279">
        <v>9</v>
      </c>
      <c r="G279">
        <v>12</v>
      </c>
      <c r="H279" t="s">
        <v>2814</v>
      </c>
      <c r="I27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79" t="s">
        <v>284</v>
      </c>
      <c r="K279" t="str">
        <f>RIGHT(Tabla2[[#This Row],[codigo_producto]],LEN(Tabla2[[#This Row],[codigo_producto]])-FIND("/",Tabla2[[#This Row],[codigo_producto]]))</f>
        <v>KITSEGJS3</v>
      </c>
      <c r="L279" t="str">
        <f>LEFT(Tabla2[[#This Row],[codigo_producto]],FIND("/",Tabla2[[#This Row],[codigo_producto]])-1)</f>
        <v>7</v>
      </c>
      <c r="M27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280" spans="1:13" x14ac:dyDescent="0.25">
      <c r="A280" t="s">
        <v>3101</v>
      </c>
      <c r="B280" t="s">
        <v>1905</v>
      </c>
      <c r="C280" t="s">
        <v>1905</v>
      </c>
      <c r="D280">
        <v>32</v>
      </c>
      <c r="E280">
        <v>5</v>
      </c>
      <c r="F280">
        <v>9</v>
      </c>
      <c r="G280">
        <v>12</v>
      </c>
      <c r="H280" t="s">
        <v>2814</v>
      </c>
      <c r="I28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80" t="s">
        <v>285</v>
      </c>
      <c r="K280" t="str">
        <f>RIGHT(Tabla2[[#This Row],[codigo_producto]],LEN(Tabla2[[#This Row],[codigo_producto]])-FIND("/",Tabla2[[#This Row],[codigo_producto]]))</f>
        <v>KITSEGJS4</v>
      </c>
      <c r="L280" t="str">
        <f>LEFT(Tabla2[[#This Row],[codigo_producto]],FIND("/",Tabla2[[#This Row],[codigo_producto]])-1)</f>
        <v>7</v>
      </c>
      <c r="M28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281" spans="1:13" x14ac:dyDescent="0.25">
      <c r="A281" t="s">
        <v>3102</v>
      </c>
      <c r="B281" t="s">
        <v>1906</v>
      </c>
      <c r="C281" t="s">
        <v>1906</v>
      </c>
      <c r="D281">
        <v>22</v>
      </c>
      <c r="E281">
        <v>5</v>
      </c>
      <c r="F281">
        <v>9</v>
      </c>
      <c r="G281">
        <v>12</v>
      </c>
      <c r="H281" t="s">
        <v>2815</v>
      </c>
      <c r="I28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281" t="s">
        <v>286</v>
      </c>
      <c r="K281" t="str">
        <f>RIGHT(Tabla2[[#This Row],[codigo_producto]],LEN(Tabla2[[#This Row],[codigo_producto]])-FIND("/",Tabla2[[#This Row],[codigo_producto]]))</f>
        <v>KITSEGJS8</v>
      </c>
      <c r="L281" t="str">
        <f>LEFT(Tabla2[[#This Row],[codigo_producto]],FIND("/",Tabla2[[#This Row],[codigo_producto]])-1)</f>
        <v>7</v>
      </c>
      <c r="M28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282" spans="1:13" x14ac:dyDescent="0.25">
      <c r="A282" t="s">
        <v>3103</v>
      </c>
      <c r="B282" t="s">
        <v>1907</v>
      </c>
      <c r="C282" t="s">
        <v>1907</v>
      </c>
      <c r="D282">
        <v>32</v>
      </c>
      <c r="E282">
        <v>11</v>
      </c>
      <c r="F282">
        <v>9</v>
      </c>
      <c r="G282">
        <v>12</v>
      </c>
      <c r="H282" t="s">
        <v>2814</v>
      </c>
      <c r="I28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82" t="s">
        <v>287</v>
      </c>
      <c r="K282" t="str">
        <f>RIGHT(Tabla2[[#This Row],[codigo_producto]],LEN(Tabla2[[#This Row],[codigo_producto]])-FIND("/",Tabla2[[#This Row],[codigo_producto]]))</f>
        <v>100005306</v>
      </c>
      <c r="L282" t="str">
        <f>LEFT(Tabla2[[#This Row],[codigo_producto]],FIND("/",Tabla2[[#This Row],[codigo_producto]])-1)</f>
        <v>9</v>
      </c>
      <c r="M28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11</v>
      </c>
    </row>
    <row r="283" spans="1:13" x14ac:dyDescent="0.25">
      <c r="A283" t="s">
        <v>3104</v>
      </c>
      <c r="B283" t="s">
        <v>1715</v>
      </c>
      <c r="C283" t="s">
        <v>1715</v>
      </c>
      <c r="D283">
        <v>32</v>
      </c>
      <c r="E283">
        <v>11</v>
      </c>
      <c r="F283">
        <v>9</v>
      </c>
      <c r="G283">
        <v>12</v>
      </c>
      <c r="H283" t="s">
        <v>2814</v>
      </c>
      <c r="I28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83" t="s">
        <v>288</v>
      </c>
      <c r="K283" t="str">
        <f>RIGHT(Tabla2[[#This Row],[codigo_producto]],LEN(Tabla2[[#This Row],[codigo_producto]])-FIND("/",Tabla2[[#This Row],[codigo_producto]]))</f>
        <v>100007470</v>
      </c>
      <c r="L283" t="str">
        <f>LEFT(Tabla2[[#This Row],[codigo_producto]],FIND("/",Tabla2[[#This Row],[codigo_producto]])-1)</f>
        <v>9</v>
      </c>
      <c r="M28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11</v>
      </c>
    </row>
    <row r="284" spans="1:13" x14ac:dyDescent="0.25">
      <c r="A284" t="s">
        <v>3105</v>
      </c>
      <c r="B284" t="s">
        <v>1733</v>
      </c>
      <c r="C284" t="s">
        <v>1733</v>
      </c>
      <c r="D284">
        <v>32</v>
      </c>
      <c r="E284">
        <v>11</v>
      </c>
      <c r="F284">
        <v>9</v>
      </c>
      <c r="G284">
        <v>12</v>
      </c>
      <c r="H284" t="s">
        <v>2814</v>
      </c>
      <c r="I28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84" t="s">
        <v>289</v>
      </c>
      <c r="K284" t="str">
        <f>RIGHT(Tabla2[[#This Row],[codigo_producto]],LEN(Tabla2[[#This Row],[codigo_producto]])-FIND("/",Tabla2[[#This Row],[codigo_producto]]))</f>
        <v>100013768</v>
      </c>
      <c r="L284" t="str">
        <f>LEFT(Tabla2[[#This Row],[codigo_producto]],FIND("/",Tabla2[[#This Row],[codigo_producto]])-1)</f>
        <v>9</v>
      </c>
      <c r="M28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11</v>
      </c>
    </row>
    <row r="285" spans="1:13" x14ac:dyDescent="0.25">
      <c r="A285" t="s">
        <v>3106</v>
      </c>
      <c r="B285" t="s">
        <v>1908</v>
      </c>
      <c r="C285" t="s">
        <v>1908</v>
      </c>
      <c r="D285">
        <v>32</v>
      </c>
      <c r="E285">
        <v>11</v>
      </c>
      <c r="F285">
        <v>9</v>
      </c>
      <c r="G285">
        <v>12</v>
      </c>
      <c r="H285" t="s">
        <v>2814</v>
      </c>
      <c r="I28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85" t="s">
        <v>290</v>
      </c>
      <c r="K285" t="str">
        <f>RIGHT(Tabla2[[#This Row],[codigo_producto]],LEN(Tabla2[[#This Row],[codigo_producto]])-FIND("/",Tabla2[[#This Row],[codigo_producto]]))</f>
        <v>100018762</v>
      </c>
      <c r="L285" t="str">
        <f>LEFT(Tabla2[[#This Row],[codigo_producto]],FIND("/",Tabla2[[#This Row],[codigo_producto]])-1)</f>
        <v>9</v>
      </c>
      <c r="M28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11</v>
      </c>
    </row>
    <row r="286" spans="1:13" x14ac:dyDescent="0.25">
      <c r="A286" t="s">
        <v>3107</v>
      </c>
      <c r="B286" t="s">
        <v>1715</v>
      </c>
      <c r="C286" t="s">
        <v>1715</v>
      </c>
      <c r="D286">
        <v>32</v>
      </c>
      <c r="E286">
        <v>11</v>
      </c>
      <c r="F286">
        <v>9</v>
      </c>
      <c r="G286">
        <v>12</v>
      </c>
      <c r="H286" t="s">
        <v>2814</v>
      </c>
      <c r="I28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86" t="s">
        <v>291</v>
      </c>
      <c r="K286" t="str">
        <f>RIGHT(Tabla2[[#This Row],[codigo_producto]],LEN(Tabla2[[#This Row],[codigo_producto]])-FIND("/",Tabla2[[#This Row],[codigo_producto]]))</f>
        <v>100024378</v>
      </c>
      <c r="L286" t="str">
        <f>LEFT(Tabla2[[#This Row],[codigo_producto]],FIND("/",Tabla2[[#This Row],[codigo_producto]])-1)</f>
        <v>9</v>
      </c>
      <c r="M28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11</v>
      </c>
    </row>
    <row r="287" spans="1:13" x14ac:dyDescent="0.25">
      <c r="A287" t="s">
        <v>3108</v>
      </c>
      <c r="B287" t="s">
        <v>1909</v>
      </c>
      <c r="C287" t="s">
        <v>1909</v>
      </c>
      <c r="D287">
        <v>32</v>
      </c>
      <c r="E287">
        <v>11</v>
      </c>
      <c r="F287">
        <v>9</v>
      </c>
      <c r="G287">
        <v>12</v>
      </c>
      <c r="H287" t="s">
        <v>2814</v>
      </c>
      <c r="I28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87" t="s">
        <v>292</v>
      </c>
      <c r="K287" t="str">
        <f>RIGHT(Tabla2[[#This Row],[codigo_producto]],LEN(Tabla2[[#This Row],[codigo_producto]])-FIND("/",Tabla2[[#This Row],[codigo_producto]]))</f>
        <v>100025061</v>
      </c>
      <c r="L287" t="str">
        <f>LEFT(Tabla2[[#This Row],[codigo_producto]],FIND("/",Tabla2[[#This Row],[codigo_producto]])-1)</f>
        <v>9</v>
      </c>
      <c r="M28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11</v>
      </c>
    </row>
    <row r="288" spans="1:13" x14ac:dyDescent="0.25">
      <c r="A288" t="s">
        <v>3109</v>
      </c>
      <c r="B288" t="s">
        <v>1910</v>
      </c>
      <c r="C288" t="s">
        <v>1910</v>
      </c>
      <c r="D288">
        <v>32</v>
      </c>
      <c r="E288">
        <v>11</v>
      </c>
      <c r="F288">
        <v>9</v>
      </c>
      <c r="G288">
        <v>12</v>
      </c>
      <c r="H288" t="s">
        <v>2814</v>
      </c>
      <c r="I28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88" t="s">
        <v>293</v>
      </c>
      <c r="K288" t="str">
        <f>RIGHT(Tabla2[[#This Row],[codigo_producto]],LEN(Tabla2[[#This Row],[codigo_producto]])-FIND("/",Tabla2[[#This Row],[codigo_producto]]))</f>
        <v>100032834</v>
      </c>
      <c r="L288" t="str">
        <f>LEFT(Tabla2[[#This Row],[codigo_producto]],FIND("/",Tabla2[[#This Row],[codigo_producto]])-1)</f>
        <v>9</v>
      </c>
      <c r="M28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11</v>
      </c>
    </row>
    <row r="289" spans="1:13" x14ac:dyDescent="0.25">
      <c r="A289" t="s">
        <v>3110</v>
      </c>
      <c r="B289" t="s">
        <v>1911</v>
      </c>
      <c r="C289" t="s">
        <v>1911</v>
      </c>
      <c r="D289">
        <v>32</v>
      </c>
      <c r="E289">
        <v>11</v>
      </c>
      <c r="F289">
        <v>9</v>
      </c>
      <c r="G289">
        <v>12</v>
      </c>
      <c r="H289" t="s">
        <v>2814</v>
      </c>
      <c r="I28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89" t="s">
        <v>294</v>
      </c>
      <c r="K289" t="str">
        <f>RIGHT(Tabla2[[#This Row],[codigo_producto]],LEN(Tabla2[[#This Row],[codigo_producto]])-FIND("/",Tabla2[[#This Row],[codigo_producto]]))</f>
        <v>100037464</v>
      </c>
      <c r="L289" t="str">
        <f>LEFT(Tabla2[[#This Row],[codigo_producto]],FIND("/",Tabla2[[#This Row],[codigo_producto]])-1)</f>
        <v>9</v>
      </c>
      <c r="M28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11</v>
      </c>
    </row>
    <row r="290" spans="1:13" x14ac:dyDescent="0.25">
      <c r="A290" t="s">
        <v>3111</v>
      </c>
      <c r="B290" t="s">
        <v>1912</v>
      </c>
      <c r="C290" t="s">
        <v>1912</v>
      </c>
      <c r="D290">
        <v>32</v>
      </c>
      <c r="E290">
        <v>8</v>
      </c>
      <c r="F290">
        <v>9</v>
      </c>
      <c r="G290">
        <v>12</v>
      </c>
      <c r="H290" t="s">
        <v>2814</v>
      </c>
      <c r="I29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90" t="s">
        <v>295</v>
      </c>
      <c r="K290" t="str">
        <f>RIGHT(Tabla2[[#This Row],[codigo_producto]],LEN(Tabla2[[#This Row],[codigo_producto]])-FIND("/",Tabla2[[#This Row],[codigo_producto]]))</f>
        <v>1276167J00</v>
      </c>
      <c r="L290" t="str">
        <f>LEFT(Tabla2[[#This Row],[codigo_producto]],FIND("/",Tabla2[[#This Row],[codigo_producto]])-1)</f>
        <v>1</v>
      </c>
      <c r="M29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291" spans="1:13" x14ac:dyDescent="0.25">
      <c r="A291" t="s">
        <v>3112</v>
      </c>
      <c r="B291" t="s">
        <v>1714</v>
      </c>
      <c r="C291" t="s">
        <v>1714</v>
      </c>
      <c r="D291">
        <v>32</v>
      </c>
      <c r="E291">
        <v>8</v>
      </c>
      <c r="F291">
        <v>9</v>
      </c>
      <c r="G291">
        <v>12</v>
      </c>
      <c r="H291" t="s">
        <v>2814</v>
      </c>
      <c r="I29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91" t="s">
        <v>296</v>
      </c>
      <c r="K291" t="str">
        <f>RIGHT(Tabla2[[#This Row],[codigo_producto]],LEN(Tabla2[[#This Row],[codigo_producto]])-FIND("/",Tabla2[[#This Row],[codigo_producto]]))</f>
        <v>1378063J00</v>
      </c>
      <c r="L291" t="str">
        <f>LEFT(Tabla2[[#This Row],[codigo_producto]],FIND("/",Tabla2[[#This Row],[codigo_producto]])-1)</f>
        <v>1</v>
      </c>
      <c r="M29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292" spans="1:13" x14ac:dyDescent="0.25">
      <c r="A292" t="s">
        <v>3113</v>
      </c>
      <c r="B292" t="s">
        <v>1913</v>
      </c>
      <c r="C292" t="s">
        <v>1913</v>
      </c>
      <c r="D292">
        <v>32</v>
      </c>
      <c r="E292">
        <v>8</v>
      </c>
      <c r="F292">
        <v>9</v>
      </c>
      <c r="G292">
        <v>12</v>
      </c>
      <c r="H292" t="s">
        <v>2814</v>
      </c>
      <c r="I29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92" t="s">
        <v>297</v>
      </c>
      <c r="K292" t="str">
        <f>RIGHT(Tabla2[[#This Row],[codigo_producto]],LEN(Tabla2[[#This Row],[codigo_producto]])-FIND("/",Tabla2[[#This Row],[codigo_producto]]))</f>
        <v>2326581A20</v>
      </c>
      <c r="L292" t="str">
        <f>LEFT(Tabla2[[#This Row],[codigo_producto]],FIND("/",Tabla2[[#This Row],[codigo_producto]])-1)</f>
        <v>1</v>
      </c>
      <c r="M29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293" spans="1:13" x14ac:dyDescent="0.25">
      <c r="A293" t="s">
        <v>3114</v>
      </c>
      <c r="B293" t="s">
        <v>1914</v>
      </c>
      <c r="C293" t="s">
        <v>1914</v>
      </c>
      <c r="D293">
        <v>32</v>
      </c>
      <c r="E293">
        <v>8</v>
      </c>
      <c r="F293">
        <v>9</v>
      </c>
      <c r="G293">
        <v>12</v>
      </c>
      <c r="H293" t="s">
        <v>2814</v>
      </c>
      <c r="I29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93" t="s">
        <v>298</v>
      </c>
      <c r="K293" t="str">
        <f>RIGHT(Tabla2[[#This Row],[codigo_producto]],LEN(Tabla2[[#This Row],[codigo_producto]])-FIND("/",Tabla2[[#This Row],[codigo_producto]]))</f>
        <v>4918150J40</v>
      </c>
      <c r="L293" t="str">
        <f>LEFT(Tabla2[[#This Row],[codigo_producto]],FIND("/",Tabla2[[#This Row],[codigo_producto]])-1)</f>
        <v>1</v>
      </c>
      <c r="M29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294" spans="1:13" x14ac:dyDescent="0.25">
      <c r="A294" t="s">
        <v>3115</v>
      </c>
      <c r="B294" t="s">
        <v>1915</v>
      </c>
      <c r="C294" t="s">
        <v>1915</v>
      </c>
      <c r="D294">
        <v>32</v>
      </c>
      <c r="E294">
        <v>8</v>
      </c>
      <c r="F294">
        <v>9</v>
      </c>
      <c r="G294">
        <v>12</v>
      </c>
      <c r="H294" t="s">
        <v>2814</v>
      </c>
      <c r="I29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94" t="s">
        <v>299</v>
      </c>
      <c r="K294" t="str">
        <f>RIGHT(Tabla2[[#This Row],[codigo_producto]],LEN(Tabla2[[#This Row],[codigo_producto]])-FIND("/",Tabla2[[#This Row],[codigo_producto]]))</f>
        <v>5320081A11</v>
      </c>
      <c r="L294" t="str">
        <f>LEFT(Tabla2[[#This Row],[codigo_producto]],FIND("/",Tabla2[[#This Row],[codigo_producto]])-1)</f>
        <v>1</v>
      </c>
      <c r="M29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295" spans="1:13" x14ac:dyDescent="0.25">
      <c r="A295" t="s">
        <v>3116</v>
      </c>
      <c r="B295" t="s">
        <v>1821</v>
      </c>
      <c r="C295" t="s">
        <v>1821</v>
      </c>
      <c r="D295">
        <v>32</v>
      </c>
      <c r="E295">
        <v>8</v>
      </c>
      <c r="F295">
        <v>9</v>
      </c>
      <c r="G295">
        <v>12</v>
      </c>
      <c r="H295" t="s">
        <v>2814</v>
      </c>
      <c r="I29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95" t="s">
        <v>300</v>
      </c>
      <c r="K295" t="str">
        <f>RIGHT(Tabla2[[#This Row],[codigo_producto]],LEN(Tabla2[[#This Row],[codigo_producto]])-FIND("/",Tabla2[[#This Row],[codigo_producto]]))</f>
        <v>5520065D21</v>
      </c>
      <c r="L295" t="str">
        <f>LEFT(Tabla2[[#This Row],[codigo_producto]],FIND("/",Tabla2[[#This Row],[codigo_producto]])-1)</f>
        <v>1</v>
      </c>
      <c r="M29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296" spans="1:13" x14ac:dyDescent="0.25">
      <c r="A296" t="s">
        <v>3117</v>
      </c>
      <c r="B296" t="s">
        <v>1916</v>
      </c>
      <c r="C296" t="s">
        <v>1916</v>
      </c>
      <c r="D296">
        <v>32</v>
      </c>
      <c r="E296">
        <v>8</v>
      </c>
      <c r="F296">
        <v>9</v>
      </c>
      <c r="G296">
        <v>12</v>
      </c>
      <c r="H296" t="s">
        <v>2814</v>
      </c>
      <c r="I29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96" t="s">
        <v>301</v>
      </c>
      <c r="K296" t="str">
        <f>RIGHT(Tabla2[[#This Row],[codigo_producto]],LEN(Tabla2[[#This Row],[codigo_producto]])-FIND("/",Tabla2[[#This Row],[codigo_producto]]))</f>
        <v>5520650J00</v>
      </c>
      <c r="L296" t="str">
        <f>LEFT(Tabla2[[#This Row],[codigo_producto]],FIND("/",Tabla2[[#This Row],[codigo_producto]])-1)</f>
        <v>1</v>
      </c>
      <c r="M29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297" spans="1:13" x14ac:dyDescent="0.25">
      <c r="A297" t="s">
        <v>3118</v>
      </c>
      <c r="B297" t="s">
        <v>1917</v>
      </c>
      <c r="C297" t="s">
        <v>1917</v>
      </c>
      <c r="D297">
        <v>32</v>
      </c>
      <c r="E297">
        <v>8</v>
      </c>
      <c r="F297">
        <v>9</v>
      </c>
      <c r="G297">
        <v>12</v>
      </c>
      <c r="H297" t="s">
        <v>2814</v>
      </c>
      <c r="I29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97" t="s">
        <v>302</v>
      </c>
      <c r="K297" t="str">
        <f>RIGHT(Tabla2[[#This Row],[codigo_producto]],LEN(Tabla2[[#This Row],[codigo_producto]])-FIND("/",Tabla2[[#This Row],[codigo_producto]]))</f>
        <v>9514161J00</v>
      </c>
      <c r="L297" t="str">
        <f>LEFT(Tabla2[[#This Row],[codigo_producto]],FIND("/",Tabla2[[#This Row],[codigo_producto]])-1)</f>
        <v>1</v>
      </c>
      <c r="M29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298" spans="1:13" x14ac:dyDescent="0.25">
      <c r="A298" t="s">
        <v>3119</v>
      </c>
      <c r="B298" t="s">
        <v>1918</v>
      </c>
      <c r="C298" t="s">
        <v>1918</v>
      </c>
      <c r="D298">
        <v>32</v>
      </c>
      <c r="E298">
        <v>8</v>
      </c>
      <c r="F298">
        <v>9</v>
      </c>
      <c r="G298">
        <v>12</v>
      </c>
      <c r="H298" t="s">
        <v>2814</v>
      </c>
      <c r="I29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98" t="s">
        <v>303</v>
      </c>
      <c r="K298" t="str">
        <f>RIGHT(Tabla2[[#This Row],[codigo_producto]],LEN(Tabla2[[#This Row],[codigo_producto]])-FIND("/",Tabla2[[#This Row],[codigo_producto]]))</f>
        <v>9586063J10</v>
      </c>
      <c r="L298" t="str">
        <f>LEFT(Tabla2[[#This Row],[codigo_producto]],FIND("/",Tabla2[[#This Row],[codigo_producto]])-1)</f>
        <v>1</v>
      </c>
      <c r="M29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299" spans="1:13" x14ac:dyDescent="0.25">
      <c r="A299" t="s">
        <v>3120</v>
      </c>
      <c r="B299" t="s">
        <v>1919</v>
      </c>
      <c r="C299" t="s">
        <v>1919</v>
      </c>
      <c r="D299">
        <v>32</v>
      </c>
      <c r="E299">
        <v>13</v>
      </c>
      <c r="F299">
        <v>9</v>
      </c>
      <c r="G299">
        <v>12</v>
      </c>
      <c r="H299" t="s">
        <v>2814</v>
      </c>
      <c r="I29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99" t="s">
        <v>304</v>
      </c>
      <c r="K299" t="str">
        <f>RIGHT(Tabla2[[#This Row],[codigo_producto]],LEN(Tabla2[[#This Row],[codigo_producto]])-FIND("/",Tabla2[[#This Row],[codigo_producto]]))</f>
        <v>151100002</v>
      </c>
      <c r="L299" t="str">
        <f>LEFT(Tabla2[[#This Row],[codigo_producto]],FIND("/",Tabla2[[#This Row],[codigo_producto]])-1)</f>
        <v>10</v>
      </c>
      <c r="M29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300" spans="1:13" x14ac:dyDescent="0.25">
      <c r="A300" t="s">
        <v>3121</v>
      </c>
      <c r="B300" t="s">
        <v>1920</v>
      </c>
      <c r="C300" t="s">
        <v>1920</v>
      </c>
      <c r="D300">
        <v>32</v>
      </c>
      <c r="E300">
        <v>13</v>
      </c>
      <c r="F300">
        <v>9</v>
      </c>
      <c r="G300">
        <v>12</v>
      </c>
      <c r="H300" t="s">
        <v>2814</v>
      </c>
      <c r="I30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00" t="s">
        <v>305</v>
      </c>
      <c r="K300" t="str">
        <f>RIGHT(Tabla2[[#This Row],[codigo_producto]],LEN(Tabla2[[#This Row],[codigo_producto]])-FIND("/",Tabla2[[#This Row],[codigo_producto]]))</f>
        <v>161517000</v>
      </c>
      <c r="L300" t="str">
        <f>LEFT(Tabla2[[#This Row],[codigo_producto]],FIND("/",Tabla2[[#This Row],[codigo_producto]])-1)</f>
        <v>10</v>
      </c>
      <c r="M30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301" spans="1:13" x14ac:dyDescent="0.25">
      <c r="A301" t="s">
        <v>3122</v>
      </c>
      <c r="B301" t="s">
        <v>1921</v>
      </c>
      <c r="C301" t="s">
        <v>1921</v>
      </c>
      <c r="D301">
        <v>32</v>
      </c>
      <c r="E301">
        <v>13</v>
      </c>
      <c r="F301">
        <v>9</v>
      </c>
      <c r="G301">
        <v>12</v>
      </c>
      <c r="H301" t="s">
        <v>2814</v>
      </c>
      <c r="I30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01" t="s">
        <v>306</v>
      </c>
      <c r="K301" t="str">
        <f>RIGHT(Tabla2[[#This Row],[codigo_producto]],LEN(Tabla2[[#This Row],[codigo_producto]])-FIND("/",Tabla2[[#This Row],[codigo_producto]]))</f>
        <v>236000154</v>
      </c>
      <c r="L301" t="str">
        <f>LEFT(Tabla2[[#This Row],[codigo_producto]],FIND("/",Tabla2[[#This Row],[codigo_producto]])-1)</f>
        <v>10</v>
      </c>
      <c r="M30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302" spans="1:13" x14ac:dyDescent="0.25">
      <c r="A302" t="s">
        <v>3123</v>
      </c>
      <c r="B302" t="s">
        <v>1922</v>
      </c>
      <c r="C302" t="s">
        <v>1922</v>
      </c>
      <c r="D302">
        <v>32</v>
      </c>
      <c r="E302">
        <v>13</v>
      </c>
      <c r="F302">
        <v>9</v>
      </c>
      <c r="G302">
        <v>12</v>
      </c>
      <c r="H302" t="s">
        <v>2814</v>
      </c>
      <c r="I30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02" t="s">
        <v>307</v>
      </c>
      <c r="K302" t="str">
        <f>RIGHT(Tabla2[[#This Row],[codigo_producto]],LEN(Tabla2[[#This Row],[codigo_producto]])-FIND("/",Tabla2[[#This Row],[codigo_producto]]))</f>
        <v>278205300</v>
      </c>
      <c r="L302" t="str">
        <f>LEFT(Tabla2[[#This Row],[codigo_producto]],FIND("/",Tabla2[[#This Row],[codigo_producto]])-1)</f>
        <v>10</v>
      </c>
      <c r="M30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303" spans="1:13" x14ac:dyDescent="0.25">
      <c r="A303" t="s">
        <v>3124</v>
      </c>
      <c r="B303" t="s">
        <v>1923</v>
      </c>
      <c r="C303" t="s">
        <v>1923</v>
      </c>
      <c r="D303">
        <v>32</v>
      </c>
      <c r="E303">
        <v>13</v>
      </c>
      <c r="F303">
        <v>9</v>
      </c>
      <c r="G303">
        <v>12</v>
      </c>
      <c r="H303" t="s">
        <v>2814</v>
      </c>
      <c r="I30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03" t="s">
        <v>308</v>
      </c>
      <c r="K303" t="str">
        <f>RIGHT(Tabla2[[#This Row],[codigo_producto]],LEN(Tabla2[[#This Row],[codigo_producto]])-FIND("/",Tabla2[[#This Row],[codigo_producto]]))</f>
        <v>278208300</v>
      </c>
      <c r="L303" t="str">
        <f>LEFT(Tabla2[[#This Row],[codigo_producto]],FIND("/",Tabla2[[#This Row],[codigo_producto]])-1)</f>
        <v>10</v>
      </c>
      <c r="M30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304" spans="1:13" x14ac:dyDescent="0.25">
      <c r="A304" t="s">
        <v>3125</v>
      </c>
      <c r="B304" t="s">
        <v>1924</v>
      </c>
      <c r="C304" t="s">
        <v>1924</v>
      </c>
      <c r="D304">
        <v>32</v>
      </c>
      <c r="E304">
        <v>13</v>
      </c>
      <c r="F304">
        <v>9</v>
      </c>
      <c r="G304">
        <v>12</v>
      </c>
      <c r="H304" t="s">
        <v>2814</v>
      </c>
      <c r="I30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04" t="s">
        <v>309</v>
      </c>
      <c r="K304" t="str">
        <f>RIGHT(Tabla2[[#This Row],[codigo_producto]],LEN(Tabla2[[#This Row],[codigo_producto]])-FIND("/",Tabla2[[#This Row],[codigo_producto]]))</f>
        <v>463057000</v>
      </c>
      <c r="L304" t="str">
        <f>LEFT(Tabla2[[#This Row],[codigo_producto]],FIND("/",Tabla2[[#This Row],[codigo_producto]])-1)</f>
        <v>10</v>
      </c>
      <c r="M30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305" spans="1:13" x14ac:dyDescent="0.25">
      <c r="A305" t="s">
        <v>3126</v>
      </c>
      <c r="B305" t="s">
        <v>1925</v>
      </c>
      <c r="C305" t="s">
        <v>1925</v>
      </c>
      <c r="D305">
        <v>32</v>
      </c>
      <c r="E305">
        <v>13</v>
      </c>
      <c r="F305">
        <v>9</v>
      </c>
      <c r="G305">
        <v>12</v>
      </c>
      <c r="H305" t="s">
        <v>2814</v>
      </c>
      <c r="I30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05" t="s">
        <v>310</v>
      </c>
      <c r="K305" t="str">
        <f>RIGHT(Tabla2[[#This Row],[codigo_producto]],LEN(Tabla2[[#This Row],[codigo_producto]])-FIND("/",Tabla2[[#This Row],[codigo_producto]]))</f>
        <v>616483000</v>
      </c>
      <c r="L305" t="str">
        <f>LEFT(Tabla2[[#This Row],[codigo_producto]],FIND("/",Tabla2[[#This Row],[codigo_producto]])-1)</f>
        <v>10</v>
      </c>
      <c r="M30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306" spans="1:13" x14ac:dyDescent="0.25">
      <c r="A306" t="s">
        <v>3127</v>
      </c>
      <c r="B306" t="s">
        <v>1926</v>
      </c>
      <c r="C306" t="s">
        <v>1926</v>
      </c>
      <c r="D306">
        <v>32</v>
      </c>
      <c r="E306">
        <v>13</v>
      </c>
      <c r="F306">
        <v>9</v>
      </c>
      <c r="G306">
        <v>12</v>
      </c>
      <c r="H306" t="s">
        <v>2814</v>
      </c>
      <c r="I30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06" t="s">
        <v>311</v>
      </c>
      <c r="K306" t="str">
        <f>RIGHT(Tabla2[[#This Row],[codigo_producto]],LEN(Tabla2[[#This Row],[codigo_producto]])-FIND("/",Tabla2[[#This Row],[codigo_producto]]))</f>
        <v>620700707</v>
      </c>
      <c r="L306" t="str">
        <f>LEFT(Tabla2[[#This Row],[codigo_producto]],FIND("/",Tabla2[[#This Row],[codigo_producto]])-1)</f>
        <v>10</v>
      </c>
      <c r="M30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307" spans="1:13" x14ac:dyDescent="0.25">
      <c r="A307" t="s">
        <v>3128</v>
      </c>
      <c r="B307" t="s">
        <v>1927</v>
      </c>
      <c r="C307" t="s">
        <v>1927</v>
      </c>
      <c r="D307">
        <v>32</v>
      </c>
      <c r="E307">
        <v>13</v>
      </c>
      <c r="F307">
        <v>9</v>
      </c>
      <c r="G307">
        <v>12</v>
      </c>
      <c r="H307" t="s">
        <v>2814</v>
      </c>
      <c r="I30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07" t="s">
        <v>312</v>
      </c>
      <c r="K307" t="str">
        <f>RIGHT(Tabla2[[#This Row],[codigo_producto]],LEN(Tabla2[[#This Row],[codigo_producto]])-FIND("/",Tabla2[[#This Row],[codigo_producto]]))</f>
        <v>620700778</v>
      </c>
      <c r="L307" t="str">
        <f>LEFT(Tabla2[[#This Row],[codigo_producto]],FIND("/",Tabla2[[#This Row],[codigo_producto]])-1)</f>
        <v>10</v>
      </c>
      <c r="M30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308" spans="1:13" x14ac:dyDescent="0.25">
      <c r="A308" t="s">
        <v>3129</v>
      </c>
      <c r="B308" t="s">
        <v>1928</v>
      </c>
      <c r="C308" t="s">
        <v>1928</v>
      </c>
      <c r="D308">
        <v>32</v>
      </c>
      <c r="E308">
        <v>13</v>
      </c>
      <c r="F308">
        <v>9</v>
      </c>
      <c r="G308">
        <v>12</v>
      </c>
      <c r="H308" t="s">
        <v>2814</v>
      </c>
      <c r="I30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08" t="s">
        <v>313</v>
      </c>
      <c r="K308" t="str">
        <f>RIGHT(Tabla2[[#This Row],[codigo_producto]],LEN(Tabla2[[#This Row],[codigo_producto]])-FIND("/",Tabla2[[#This Row],[codigo_producto]]))</f>
        <v>674072000</v>
      </c>
      <c r="L308" t="str">
        <f>LEFT(Tabla2[[#This Row],[codigo_producto]],FIND("/",Tabla2[[#This Row],[codigo_producto]])-1)</f>
        <v>10</v>
      </c>
      <c r="M30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309" spans="1:13" x14ac:dyDescent="0.25">
      <c r="A309" t="s">
        <v>3130</v>
      </c>
      <c r="B309" t="s">
        <v>1929</v>
      </c>
      <c r="C309" t="s">
        <v>1929</v>
      </c>
      <c r="D309">
        <v>32</v>
      </c>
      <c r="E309">
        <v>13</v>
      </c>
      <c r="F309">
        <v>9</v>
      </c>
      <c r="G309">
        <v>12</v>
      </c>
      <c r="H309" t="s">
        <v>2814</v>
      </c>
      <c r="I30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09" t="s">
        <v>314</v>
      </c>
      <c r="K309" t="str">
        <f>RIGHT(Tabla2[[#This Row],[codigo_producto]],LEN(Tabla2[[#This Row],[codigo_producto]])-FIND("/",Tabla2[[#This Row],[codigo_producto]]))</f>
        <v>674081001</v>
      </c>
      <c r="L309" t="str">
        <f>LEFT(Tabla2[[#This Row],[codigo_producto]],FIND("/",Tabla2[[#This Row],[codigo_producto]])-1)</f>
        <v>10</v>
      </c>
      <c r="M30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310" spans="1:13" x14ac:dyDescent="0.25">
      <c r="A310" t="s">
        <v>3131</v>
      </c>
      <c r="B310" t="s">
        <v>1929</v>
      </c>
      <c r="C310" t="s">
        <v>1929</v>
      </c>
      <c r="D310">
        <v>32</v>
      </c>
      <c r="E310">
        <v>13</v>
      </c>
      <c r="F310">
        <v>9</v>
      </c>
      <c r="G310">
        <v>12</v>
      </c>
      <c r="H310" t="s">
        <v>2814</v>
      </c>
      <c r="I31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10" t="s">
        <v>315</v>
      </c>
      <c r="K310" t="str">
        <f>RIGHT(Tabla2[[#This Row],[codigo_producto]],LEN(Tabla2[[#This Row],[codigo_producto]])-FIND("/",Tabla2[[#This Row],[codigo_producto]]))</f>
        <v>674224000</v>
      </c>
      <c r="L310" t="str">
        <f>LEFT(Tabla2[[#This Row],[codigo_producto]],FIND("/",Tabla2[[#This Row],[codigo_producto]])-1)</f>
        <v>10</v>
      </c>
      <c r="M31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311" spans="1:13" x14ac:dyDescent="0.25">
      <c r="A311" t="s">
        <v>3132</v>
      </c>
      <c r="B311" t="s">
        <v>1930</v>
      </c>
      <c r="C311" t="s">
        <v>1930</v>
      </c>
      <c r="D311">
        <v>32</v>
      </c>
      <c r="E311">
        <v>13</v>
      </c>
      <c r="F311">
        <v>9</v>
      </c>
      <c r="G311">
        <v>12</v>
      </c>
      <c r="H311" t="s">
        <v>2814</v>
      </c>
      <c r="I31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11" t="s">
        <v>316</v>
      </c>
      <c r="K311" t="str">
        <f>RIGHT(Tabla2[[#This Row],[codigo_producto]],LEN(Tabla2[[#This Row],[codigo_producto]])-FIND("/",Tabla2[[#This Row],[codigo_producto]]))</f>
        <v>674493000</v>
      </c>
      <c r="L311" t="str">
        <f>LEFT(Tabla2[[#This Row],[codigo_producto]],FIND("/",Tabla2[[#This Row],[codigo_producto]])-1)</f>
        <v>10</v>
      </c>
      <c r="M31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312" spans="1:13" x14ac:dyDescent="0.25">
      <c r="A312" t="s">
        <v>3133</v>
      </c>
      <c r="B312" t="s">
        <v>1931</v>
      </c>
      <c r="C312" t="s">
        <v>1931</v>
      </c>
      <c r="D312">
        <v>32</v>
      </c>
      <c r="E312">
        <v>13</v>
      </c>
      <c r="F312">
        <v>9</v>
      </c>
      <c r="G312">
        <v>12</v>
      </c>
      <c r="H312" t="s">
        <v>2814</v>
      </c>
      <c r="I31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12" t="s">
        <v>317</v>
      </c>
      <c r="K312" t="str">
        <f>RIGHT(Tabla2[[#This Row],[codigo_producto]],LEN(Tabla2[[#This Row],[codigo_producto]])-FIND("/",Tabla2[[#This Row],[codigo_producto]]))</f>
        <v>680000318</v>
      </c>
      <c r="L312" t="str">
        <f>LEFT(Tabla2[[#This Row],[codigo_producto]],FIND("/",Tabla2[[#This Row],[codigo_producto]])-1)</f>
        <v>10</v>
      </c>
      <c r="M31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313" spans="1:13" x14ac:dyDescent="0.25">
      <c r="A313" t="s">
        <v>3134</v>
      </c>
      <c r="B313" t="s">
        <v>1932</v>
      </c>
      <c r="C313" t="s">
        <v>1932</v>
      </c>
      <c r="D313">
        <v>21</v>
      </c>
      <c r="E313">
        <v>13</v>
      </c>
      <c r="F313">
        <v>9</v>
      </c>
      <c r="G313">
        <v>12</v>
      </c>
      <c r="H313" t="s">
        <v>2820</v>
      </c>
      <c r="I31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21</v>
      </c>
      <c r="J313" t="s">
        <v>318</v>
      </c>
      <c r="K313" t="str">
        <f>RIGHT(Tabla2[[#This Row],[codigo_producto]],LEN(Tabla2[[#This Row],[codigo_producto]])-FIND("/",Tabla2[[#This Row],[codigo_producto]]))</f>
        <v>A04PZD-M1</v>
      </c>
      <c r="L313" t="str">
        <f>LEFT(Tabla2[[#This Row],[codigo_producto]],FIND("/",Tabla2[[#This Row],[codigo_producto]])-1)</f>
        <v>10</v>
      </c>
      <c r="M31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314" spans="1:13" x14ac:dyDescent="0.25">
      <c r="A314" t="s">
        <v>3135</v>
      </c>
      <c r="B314" t="s">
        <v>1933</v>
      </c>
      <c r="C314" t="s">
        <v>1933</v>
      </c>
      <c r="D314">
        <v>32</v>
      </c>
      <c r="E314">
        <v>13</v>
      </c>
      <c r="F314">
        <v>9</v>
      </c>
      <c r="G314">
        <v>12</v>
      </c>
      <c r="H314" t="s">
        <v>2814</v>
      </c>
      <c r="I31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14" t="s">
        <v>319</v>
      </c>
      <c r="K314" t="str">
        <f>RIGHT(Tabla2[[#This Row],[codigo_producto]],LEN(Tabla2[[#This Row],[codigo_producto]])-FIND("/",Tabla2[[#This Row],[codigo_producto]]))</f>
        <v>C4989106L</v>
      </c>
      <c r="L314" t="str">
        <f>LEFT(Tabla2[[#This Row],[codigo_producto]],FIND("/",Tabla2[[#This Row],[codigo_producto]])-1)</f>
        <v>10</v>
      </c>
      <c r="M31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315" spans="1:13" x14ac:dyDescent="0.25">
      <c r="A315" t="s">
        <v>3136</v>
      </c>
      <c r="B315" t="s">
        <v>1934</v>
      </c>
      <c r="C315" t="s">
        <v>1934</v>
      </c>
      <c r="D315">
        <v>21</v>
      </c>
      <c r="E315">
        <v>13</v>
      </c>
      <c r="F315">
        <v>9</v>
      </c>
      <c r="G315">
        <v>12</v>
      </c>
      <c r="H315" t="s">
        <v>2820</v>
      </c>
      <c r="I31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21</v>
      </c>
      <c r="J315" t="s">
        <v>320</v>
      </c>
      <c r="K315" t="str">
        <f>RIGHT(Tabla2[[#This Row],[codigo_producto]],LEN(Tabla2[[#This Row],[codigo_producto]])-FIND("/",Tabla2[[#This Row],[codigo_producto]]))</f>
        <v>KITSEGCX3</v>
      </c>
      <c r="L315" t="str">
        <f>LEFT(Tabla2[[#This Row],[codigo_producto]],FIND("/",Tabla2[[#This Row],[codigo_producto]])-1)</f>
        <v>10</v>
      </c>
      <c r="M31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316" spans="1:13" x14ac:dyDescent="0.25">
      <c r="A316" t="s">
        <v>3137</v>
      </c>
      <c r="B316" t="s">
        <v>1935</v>
      </c>
      <c r="C316" t="s">
        <v>1935</v>
      </c>
      <c r="D316">
        <v>21</v>
      </c>
      <c r="E316">
        <v>13</v>
      </c>
      <c r="F316">
        <v>9</v>
      </c>
      <c r="G316">
        <v>12</v>
      </c>
      <c r="H316" t="s">
        <v>2820</v>
      </c>
      <c r="I31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21</v>
      </c>
      <c r="J316" t="s">
        <v>321</v>
      </c>
      <c r="K316" t="str">
        <f>RIGHT(Tabla2[[#This Row],[codigo_producto]],LEN(Tabla2[[#This Row],[codigo_producto]])-FIND("/",Tabla2[[#This Row],[codigo_producto]]))</f>
        <v>KITSEGJS2</v>
      </c>
      <c r="L316" t="str">
        <f>LEFT(Tabla2[[#This Row],[codigo_producto]],FIND("/",Tabla2[[#This Row],[codigo_producto]])-1)</f>
        <v>10</v>
      </c>
      <c r="M31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317" spans="1:13" x14ac:dyDescent="0.25">
      <c r="A317" t="s">
        <v>3101</v>
      </c>
      <c r="B317" t="s">
        <v>1936</v>
      </c>
      <c r="C317" t="s">
        <v>1936</v>
      </c>
      <c r="D317">
        <v>21</v>
      </c>
      <c r="E317">
        <v>13</v>
      </c>
      <c r="F317">
        <v>9</v>
      </c>
      <c r="G317">
        <v>12</v>
      </c>
      <c r="H317" t="s">
        <v>2820</v>
      </c>
      <c r="I31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21</v>
      </c>
      <c r="J317" t="s">
        <v>322</v>
      </c>
      <c r="K317" t="str">
        <f>RIGHT(Tabla2[[#This Row],[codigo_producto]],LEN(Tabla2[[#This Row],[codigo_producto]])-FIND("/",Tabla2[[#This Row],[codigo_producto]]))</f>
        <v>KITSEGJS4</v>
      </c>
      <c r="L317" t="str">
        <f>LEFT(Tabla2[[#This Row],[codigo_producto]],FIND("/",Tabla2[[#This Row],[codigo_producto]])-1)</f>
        <v>10</v>
      </c>
      <c r="M31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318" spans="1:13" x14ac:dyDescent="0.25">
      <c r="A318" t="s">
        <v>3138</v>
      </c>
      <c r="B318" t="s">
        <v>1937</v>
      </c>
      <c r="C318" t="s">
        <v>1937</v>
      </c>
      <c r="D318">
        <v>32</v>
      </c>
      <c r="E318">
        <v>13</v>
      </c>
      <c r="F318">
        <v>9</v>
      </c>
      <c r="G318">
        <v>12</v>
      </c>
      <c r="H318" t="s">
        <v>2814</v>
      </c>
      <c r="I31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18" t="s">
        <v>323</v>
      </c>
      <c r="K318" t="str">
        <f>RIGHT(Tabla2[[#This Row],[codigo_producto]],LEN(Tabla2[[#This Row],[codigo_producto]])-FIND("/",Tabla2[[#This Row],[codigo_producto]]))</f>
        <v>KITSEGJS6</v>
      </c>
      <c r="L318" t="str">
        <f>LEFT(Tabla2[[#This Row],[codigo_producto]],FIND("/",Tabla2[[#This Row],[codigo_producto]])-1)</f>
        <v>10</v>
      </c>
      <c r="M31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319" spans="1:13" x14ac:dyDescent="0.25">
      <c r="A319" t="s">
        <v>3139</v>
      </c>
      <c r="B319" t="s">
        <v>1938</v>
      </c>
      <c r="C319" t="s">
        <v>1938</v>
      </c>
      <c r="D319">
        <v>22</v>
      </c>
      <c r="E319">
        <v>13</v>
      </c>
      <c r="F319">
        <v>9</v>
      </c>
      <c r="G319">
        <v>12</v>
      </c>
      <c r="H319" t="s">
        <v>2815</v>
      </c>
      <c r="I31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319" t="s">
        <v>324</v>
      </c>
      <c r="K319" t="str">
        <f>RIGHT(Tabla2[[#This Row],[codigo_producto]],LEN(Tabla2[[#This Row],[codigo_producto]])-FIND("/",Tabla2[[#This Row],[codigo_producto]]))</f>
        <v>LUBFREN04</v>
      </c>
      <c r="L319" t="str">
        <f>LEFT(Tabla2[[#This Row],[codigo_producto]],FIND("/",Tabla2[[#This Row],[codigo_producto]])-1)</f>
        <v>10</v>
      </c>
      <c r="M31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320" spans="1:13" x14ac:dyDescent="0.25">
      <c r="A320" t="s">
        <v>3140</v>
      </c>
      <c r="B320" t="s">
        <v>1939</v>
      </c>
      <c r="C320" t="s">
        <v>1939</v>
      </c>
      <c r="D320">
        <v>22</v>
      </c>
      <c r="E320">
        <v>13</v>
      </c>
      <c r="F320">
        <v>9</v>
      </c>
      <c r="G320">
        <v>12</v>
      </c>
      <c r="H320" t="s">
        <v>2815</v>
      </c>
      <c r="I32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320" t="s">
        <v>325</v>
      </c>
      <c r="K320" t="str">
        <f>RIGHT(Tabla2[[#This Row],[codigo_producto]],LEN(Tabla2[[#This Row],[codigo_producto]])-FIND("/",Tabla2[[#This Row],[codigo_producto]]))</f>
        <v>PM-9CFSFS</v>
      </c>
      <c r="L320" t="str">
        <f>LEFT(Tabla2[[#This Row],[codigo_producto]],FIND("/",Tabla2[[#This Row],[codigo_producto]])-1)</f>
        <v>10</v>
      </c>
      <c r="M32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321" spans="1:13" x14ac:dyDescent="0.25">
      <c r="A321" t="s">
        <v>3141</v>
      </c>
      <c r="B321" t="s">
        <v>1940</v>
      </c>
      <c r="C321" t="s">
        <v>1940</v>
      </c>
      <c r="D321">
        <v>32</v>
      </c>
      <c r="E321">
        <v>13</v>
      </c>
      <c r="F321">
        <v>9</v>
      </c>
      <c r="G321">
        <v>12</v>
      </c>
      <c r="H321" t="s">
        <v>2814</v>
      </c>
      <c r="I32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21" t="s">
        <v>326</v>
      </c>
      <c r="K321" t="str">
        <f>RIGHT(Tabla2[[#This Row],[codigo_producto]],LEN(Tabla2[[#This Row],[codigo_producto]])-FIND("/",Tabla2[[#This Row],[codigo_producto]]))</f>
        <v>Q40310DRL</v>
      </c>
      <c r="L321" t="str">
        <f>LEFT(Tabla2[[#This Row],[codigo_producto]],FIND("/",Tabla2[[#This Row],[codigo_producto]])-1)</f>
        <v>10</v>
      </c>
      <c r="M32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322" spans="1:13" x14ac:dyDescent="0.25">
      <c r="A322" t="s">
        <v>3142</v>
      </c>
      <c r="B322" t="s">
        <v>1941</v>
      </c>
      <c r="C322" t="s">
        <v>1941</v>
      </c>
      <c r="D322">
        <v>32</v>
      </c>
      <c r="E322">
        <v>13</v>
      </c>
      <c r="F322">
        <v>9</v>
      </c>
      <c r="G322">
        <v>12</v>
      </c>
      <c r="H322" t="s">
        <v>2814</v>
      </c>
      <c r="I32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22" t="s">
        <v>327</v>
      </c>
      <c r="K322" t="str">
        <f>RIGHT(Tabla2[[#This Row],[codigo_producto]],LEN(Tabla2[[#This Row],[codigo_producto]])-FIND("/",Tabla2[[#This Row],[codigo_producto]]))</f>
        <v>Q40312DRL</v>
      </c>
      <c r="L322" t="str">
        <f>LEFT(Tabla2[[#This Row],[codigo_producto]],FIND("/",Tabla2[[#This Row],[codigo_producto]])-1)</f>
        <v>10</v>
      </c>
      <c r="M32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323" spans="1:13" x14ac:dyDescent="0.25">
      <c r="A323" t="s">
        <v>3143</v>
      </c>
      <c r="B323" t="s">
        <v>1942</v>
      </c>
      <c r="C323" t="s">
        <v>1942</v>
      </c>
      <c r="D323">
        <v>32</v>
      </c>
      <c r="E323">
        <v>13</v>
      </c>
      <c r="F323">
        <v>9</v>
      </c>
      <c r="G323">
        <v>12</v>
      </c>
      <c r="H323" t="s">
        <v>2814</v>
      </c>
      <c r="I32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23" t="s">
        <v>328</v>
      </c>
      <c r="K323" t="str">
        <f>RIGHT(Tabla2[[#This Row],[codigo_producto]],LEN(Tabla2[[#This Row],[codigo_producto]])-FIND("/",Tabla2[[#This Row],[codigo_producto]]))</f>
        <v>TER651107</v>
      </c>
      <c r="L323" t="str">
        <f>LEFT(Tabla2[[#This Row],[codigo_producto]],FIND("/",Tabla2[[#This Row],[codigo_producto]])-1)</f>
        <v>10</v>
      </c>
      <c r="M32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324" spans="1:13" x14ac:dyDescent="0.25">
      <c r="A324" t="s">
        <v>3144</v>
      </c>
      <c r="B324" t="s">
        <v>1943</v>
      </c>
      <c r="C324" t="s">
        <v>1943</v>
      </c>
      <c r="D324">
        <v>25</v>
      </c>
      <c r="E324">
        <v>13</v>
      </c>
      <c r="F324">
        <v>9</v>
      </c>
      <c r="G324">
        <v>12</v>
      </c>
      <c r="H324" t="s">
        <v>2816</v>
      </c>
      <c r="I32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324" t="s">
        <v>329</v>
      </c>
      <c r="K324" t="str">
        <f>RIGHT(Tabla2[[#This Row],[codigo_producto]],LEN(Tabla2[[#This Row],[codigo_producto]])-FIND("/",Tabla2[[#This Row],[codigo_producto]]))</f>
        <v>TTL213822</v>
      </c>
      <c r="L324" t="str">
        <f>LEFT(Tabla2[[#This Row],[codigo_producto]],FIND("/",Tabla2[[#This Row],[codigo_producto]])-1)</f>
        <v>10</v>
      </c>
      <c r="M32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325" spans="1:13" x14ac:dyDescent="0.25">
      <c r="A325" t="s">
        <v>3145</v>
      </c>
      <c r="B325" t="s">
        <v>1944</v>
      </c>
      <c r="C325" t="s">
        <v>1944</v>
      </c>
      <c r="D325">
        <v>25</v>
      </c>
      <c r="E325">
        <v>13</v>
      </c>
      <c r="F325">
        <v>9</v>
      </c>
      <c r="G325">
        <v>12</v>
      </c>
      <c r="H325" t="s">
        <v>2816</v>
      </c>
      <c r="I32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325" t="s">
        <v>330</v>
      </c>
      <c r="K325" t="str">
        <f>RIGHT(Tabla2[[#This Row],[codigo_producto]],LEN(Tabla2[[#This Row],[codigo_producto]])-FIND("/",Tabla2[[#This Row],[codigo_producto]]))</f>
        <v>TTL214028</v>
      </c>
      <c r="L325" t="str">
        <f>LEFT(Tabla2[[#This Row],[codigo_producto]],FIND("/",Tabla2[[#This Row],[codigo_producto]])-1)</f>
        <v>10</v>
      </c>
      <c r="M32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326" spans="1:13" x14ac:dyDescent="0.25">
      <c r="A326" t="s">
        <v>3146</v>
      </c>
      <c r="B326" t="s">
        <v>1945</v>
      </c>
      <c r="C326" t="s">
        <v>1945</v>
      </c>
      <c r="D326">
        <v>31</v>
      </c>
      <c r="E326">
        <v>9</v>
      </c>
      <c r="F326">
        <v>9</v>
      </c>
      <c r="G326">
        <v>12</v>
      </c>
      <c r="H326" t="s">
        <v>2818</v>
      </c>
      <c r="I32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326" t="s">
        <v>331</v>
      </c>
      <c r="K326" t="str">
        <f>RIGHT(Tabla2[[#This Row],[codigo_producto]],LEN(Tabla2[[#This Row],[codigo_producto]])-FIND("/",Tabla2[[#This Row],[codigo_producto]]))</f>
        <v>1010301FA</v>
      </c>
      <c r="L326" t="str">
        <f>LEFT(Tabla2[[#This Row],[codigo_producto]],FIND("/",Tabla2[[#This Row],[codigo_producto]])-1)</f>
        <v>11</v>
      </c>
      <c r="M32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9</v>
      </c>
    </row>
    <row r="327" spans="1:13" x14ac:dyDescent="0.25">
      <c r="A327" t="s">
        <v>3147</v>
      </c>
      <c r="B327" t="s">
        <v>1946</v>
      </c>
      <c r="C327" t="s">
        <v>1946</v>
      </c>
      <c r="D327">
        <v>32</v>
      </c>
      <c r="E327">
        <v>9</v>
      </c>
      <c r="F327">
        <v>9</v>
      </c>
      <c r="G327">
        <v>12</v>
      </c>
      <c r="H327" t="s">
        <v>2814</v>
      </c>
      <c r="I32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27" t="s">
        <v>332</v>
      </c>
      <c r="K327" t="str">
        <f>RIGHT(Tabla2[[#This Row],[codigo_producto]],LEN(Tabla2[[#This Row],[codigo_producto]])-FIND("/",Tabla2[[#This Row],[codigo_producto]]))</f>
        <v>C4897898L</v>
      </c>
      <c r="L327" t="str">
        <f>LEFT(Tabla2[[#This Row],[codigo_producto]],FIND("/",Tabla2[[#This Row],[codigo_producto]])-1)</f>
        <v>11</v>
      </c>
      <c r="M32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9</v>
      </c>
    </row>
    <row r="328" spans="1:13" x14ac:dyDescent="0.25">
      <c r="A328" t="s">
        <v>3148</v>
      </c>
      <c r="B328" t="s">
        <v>1947</v>
      </c>
      <c r="C328" t="s">
        <v>1947</v>
      </c>
      <c r="D328">
        <v>32</v>
      </c>
      <c r="E328">
        <v>9</v>
      </c>
      <c r="F328">
        <v>9</v>
      </c>
      <c r="G328">
        <v>12</v>
      </c>
      <c r="H328" t="s">
        <v>2814</v>
      </c>
      <c r="I32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28" t="s">
        <v>333</v>
      </c>
      <c r="K328" t="str">
        <f>RIGHT(Tabla2[[#This Row],[codigo_producto]],LEN(Tabla2[[#This Row],[codigo_producto]])-FIND("/",Tabla2[[#This Row],[codigo_producto]]))</f>
        <v>LM-3534NL</v>
      </c>
      <c r="L328" t="str">
        <f>LEFT(Tabla2[[#This Row],[codigo_producto]],FIND("/",Tabla2[[#This Row],[codigo_producto]])-1)</f>
        <v>11</v>
      </c>
      <c r="M32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9</v>
      </c>
    </row>
    <row r="329" spans="1:13" x14ac:dyDescent="0.25">
      <c r="A329" t="s">
        <v>3149</v>
      </c>
      <c r="B329" t="s">
        <v>1948</v>
      </c>
      <c r="C329" t="s">
        <v>1948</v>
      </c>
      <c r="D329">
        <v>32</v>
      </c>
      <c r="E329">
        <v>6</v>
      </c>
      <c r="F329">
        <v>9</v>
      </c>
      <c r="G329">
        <v>12</v>
      </c>
      <c r="H329" t="s">
        <v>2814</v>
      </c>
      <c r="I32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29" t="s">
        <v>334</v>
      </c>
      <c r="K329" t="str">
        <f>RIGHT(Tabla2[[#This Row],[codigo_producto]],LEN(Tabla2[[#This Row],[codigo_producto]])-FIND("/",Tabla2[[#This Row],[codigo_producto]]))</f>
        <v>1D0015380C</v>
      </c>
      <c r="L329" t="str">
        <f>LEFT(Tabla2[[#This Row],[codigo_producto]],FIND("/",Tabla2[[#This Row],[codigo_producto]])-1)</f>
        <v>2</v>
      </c>
      <c r="M32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30" spans="1:13" x14ac:dyDescent="0.25">
      <c r="A330" t="s">
        <v>3150</v>
      </c>
      <c r="B330" t="s">
        <v>1949</v>
      </c>
      <c r="C330" t="s">
        <v>1949</v>
      </c>
      <c r="D330">
        <v>32</v>
      </c>
      <c r="E330">
        <v>6</v>
      </c>
      <c r="F330">
        <v>9</v>
      </c>
      <c r="G330">
        <v>12</v>
      </c>
      <c r="H330" t="s">
        <v>2814</v>
      </c>
      <c r="I33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30" t="s">
        <v>335</v>
      </c>
      <c r="K330" t="str">
        <f>RIGHT(Tabla2[[#This Row],[codigo_producto]],LEN(Tabla2[[#This Row],[codigo_producto]])-FIND("/",Tabla2[[#This Row],[codigo_producto]]))</f>
        <v>1D0125100A</v>
      </c>
      <c r="L330" t="str">
        <f>LEFT(Tabla2[[#This Row],[codigo_producto]],FIND("/",Tabla2[[#This Row],[codigo_producto]])-1)</f>
        <v>2</v>
      </c>
      <c r="M33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31" spans="1:13" x14ac:dyDescent="0.25">
      <c r="A331" t="s">
        <v>3151</v>
      </c>
      <c r="B331" t="s">
        <v>1950</v>
      </c>
      <c r="C331" t="s">
        <v>1950</v>
      </c>
      <c r="D331">
        <v>32</v>
      </c>
      <c r="E331">
        <v>6</v>
      </c>
      <c r="F331">
        <v>9</v>
      </c>
      <c r="G331">
        <v>12</v>
      </c>
      <c r="H331" t="s">
        <v>2814</v>
      </c>
      <c r="I33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31" t="s">
        <v>336</v>
      </c>
      <c r="K331" t="str">
        <f>RIGHT(Tabla2[[#This Row],[codigo_producto]],LEN(Tabla2[[#This Row],[codigo_producto]])-FIND("/",Tabla2[[#This Row],[codigo_producto]]))</f>
        <v>B45A33251A</v>
      </c>
      <c r="L331" t="str">
        <f>LEFT(Tabla2[[#This Row],[codigo_producto]],FIND("/",Tabla2[[#This Row],[codigo_producto]])-1)</f>
        <v>2</v>
      </c>
      <c r="M33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32" spans="1:13" x14ac:dyDescent="0.25">
      <c r="A332" t="s">
        <v>3152</v>
      </c>
      <c r="B332" t="s">
        <v>1951</v>
      </c>
      <c r="C332" t="s">
        <v>1951</v>
      </c>
      <c r="D332">
        <v>32</v>
      </c>
      <c r="E332">
        <v>6</v>
      </c>
      <c r="F332">
        <v>9</v>
      </c>
      <c r="G332">
        <v>12</v>
      </c>
      <c r="H332" t="s">
        <v>2814</v>
      </c>
      <c r="I33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32" t="s">
        <v>337</v>
      </c>
      <c r="K332" t="str">
        <f>RIGHT(Tabla2[[#This Row],[codigo_producto]],LEN(Tabla2[[#This Row],[codigo_producto]])-FIND("/",Tabla2[[#This Row],[codigo_producto]]))</f>
        <v>B45A3438XA</v>
      </c>
      <c r="L332" t="str">
        <f>LEFT(Tabla2[[#This Row],[codigo_producto]],FIND("/",Tabla2[[#This Row],[codigo_producto]])-1)</f>
        <v>2</v>
      </c>
      <c r="M33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33" spans="1:13" x14ac:dyDescent="0.25">
      <c r="A333" t="s">
        <v>3153</v>
      </c>
      <c r="B333" t="s">
        <v>1952</v>
      </c>
      <c r="C333" t="s">
        <v>1952</v>
      </c>
      <c r="D333">
        <v>32</v>
      </c>
      <c r="E333">
        <v>6</v>
      </c>
      <c r="F333">
        <v>9</v>
      </c>
      <c r="G333">
        <v>12</v>
      </c>
      <c r="H333" t="s">
        <v>2814</v>
      </c>
      <c r="I33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33" t="s">
        <v>338</v>
      </c>
      <c r="K333" t="str">
        <f>RIGHT(Tabla2[[#This Row],[codigo_producto]],LEN(Tabla2[[#This Row],[codigo_producto]])-FIND("/",Tabla2[[#This Row],[codigo_producto]]))</f>
        <v>B45G26251B</v>
      </c>
      <c r="L333" t="str">
        <f>LEFT(Tabla2[[#This Row],[codigo_producto]],FIND("/",Tabla2[[#This Row],[codigo_producto]])-1)</f>
        <v>2</v>
      </c>
      <c r="M33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34" spans="1:13" x14ac:dyDescent="0.25">
      <c r="A334" t="s">
        <v>3154</v>
      </c>
      <c r="B334" t="s">
        <v>1712</v>
      </c>
      <c r="C334" t="s">
        <v>1712</v>
      </c>
      <c r="D334">
        <v>32</v>
      </c>
      <c r="E334">
        <v>6</v>
      </c>
      <c r="F334">
        <v>9</v>
      </c>
      <c r="G334">
        <v>12</v>
      </c>
      <c r="H334" t="s">
        <v>2814</v>
      </c>
      <c r="I33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34" t="s">
        <v>339</v>
      </c>
      <c r="K334" t="str">
        <f>RIGHT(Tabla2[[#This Row],[codigo_producto]],LEN(Tabla2[[#This Row],[codigo_producto]])-FIND("/",Tabla2[[#This Row],[codigo_producto]]))</f>
        <v>B6Y114302A</v>
      </c>
      <c r="L334" t="str">
        <f>LEFT(Tabla2[[#This Row],[codigo_producto]],FIND("/",Tabla2[[#This Row],[codigo_producto]])-1)</f>
        <v>2</v>
      </c>
      <c r="M33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35" spans="1:13" x14ac:dyDescent="0.25">
      <c r="A335" t="s">
        <v>3155</v>
      </c>
      <c r="B335" t="s">
        <v>1953</v>
      </c>
      <c r="C335" t="s">
        <v>1953</v>
      </c>
      <c r="D335">
        <v>32</v>
      </c>
      <c r="E335">
        <v>6</v>
      </c>
      <c r="F335">
        <v>9</v>
      </c>
      <c r="G335">
        <v>12</v>
      </c>
      <c r="H335" t="s">
        <v>2814</v>
      </c>
      <c r="I33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35" t="s">
        <v>340</v>
      </c>
      <c r="K335" t="str">
        <f>RIGHT(Tabla2[[#This Row],[codigo_producto]],LEN(Tabla2[[#This Row],[codigo_producto]])-FIND("/",Tabla2[[#This Row],[codigo_producto]]))</f>
        <v>B6YS3328ZB</v>
      </c>
      <c r="L335" t="str">
        <f>LEFT(Tabla2[[#This Row],[codigo_producto]],FIND("/",Tabla2[[#This Row],[codigo_producto]])-1)</f>
        <v>2</v>
      </c>
      <c r="M33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36" spans="1:13" x14ac:dyDescent="0.25">
      <c r="A336" t="s">
        <v>3156</v>
      </c>
      <c r="B336" t="s">
        <v>1954</v>
      </c>
      <c r="C336" t="s">
        <v>1954</v>
      </c>
      <c r="D336">
        <v>32</v>
      </c>
      <c r="E336">
        <v>6</v>
      </c>
      <c r="F336">
        <v>9</v>
      </c>
      <c r="G336">
        <v>12</v>
      </c>
      <c r="H336" t="s">
        <v>2814</v>
      </c>
      <c r="I33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36" t="s">
        <v>341</v>
      </c>
      <c r="K336" t="str">
        <f>RIGHT(Tabla2[[#This Row],[codigo_producto]],LEN(Tabla2[[#This Row],[codigo_producto]])-FIND("/",Tabla2[[#This Row],[codigo_producto]]))</f>
        <v>BABD684L1A</v>
      </c>
      <c r="L336" t="str">
        <f>LEFT(Tabla2[[#This Row],[codigo_producto]],FIND("/",Tabla2[[#This Row],[codigo_producto]])-1)</f>
        <v>2</v>
      </c>
      <c r="M33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37" spans="1:13" x14ac:dyDescent="0.25">
      <c r="A337" t="s">
        <v>3157</v>
      </c>
      <c r="B337" t="s">
        <v>1955</v>
      </c>
      <c r="C337" t="s">
        <v>1955</v>
      </c>
      <c r="D337">
        <v>32</v>
      </c>
      <c r="E337">
        <v>6</v>
      </c>
      <c r="F337">
        <v>9</v>
      </c>
      <c r="G337">
        <v>12</v>
      </c>
      <c r="H337" t="s">
        <v>2814</v>
      </c>
      <c r="I33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37" t="s">
        <v>342</v>
      </c>
      <c r="K337" t="str">
        <f>RIGHT(Tabla2[[#This Row],[codigo_producto]],LEN(Tabla2[[#This Row],[codigo_producto]])-FIND("/",Tabla2[[#This Row],[codigo_producto]]))</f>
        <v>BCYA2643ZB</v>
      </c>
      <c r="L337" t="str">
        <f>LEFT(Tabla2[[#This Row],[codigo_producto]],FIND("/",Tabla2[[#This Row],[codigo_producto]])-1)</f>
        <v>2</v>
      </c>
      <c r="M33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38" spans="1:13" x14ac:dyDescent="0.25">
      <c r="A338" t="s">
        <v>3158</v>
      </c>
      <c r="B338" t="s">
        <v>1956</v>
      </c>
      <c r="C338" t="s">
        <v>1956</v>
      </c>
      <c r="D338">
        <v>32</v>
      </c>
      <c r="E338">
        <v>6</v>
      </c>
      <c r="F338">
        <v>9</v>
      </c>
      <c r="G338">
        <v>12</v>
      </c>
      <c r="H338" t="s">
        <v>2814</v>
      </c>
      <c r="I33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38" t="s">
        <v>343</v>
      </c>
      <c r="K338" t="str">
        <f>RIGHT(Tabla2[[#This Row],[codigo_producto]],LEN(Tabla2[[#This Row],[codigo_producto]])-FIND("/",Tabla2[[#This Row],[codigo_producto]]))</f>
        <v>BJY72648ZA</v>
      </c>
      <c r="L338" t="str">
        <f>LEFT(Tabla2[[#This Row],[codigo_producto]],FIND("/",Tabla2[[#This Row],[codigo_producto]])-1)</f>
        <v>2</v>
      </c>
      <c r="M33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39" spans="1:13" x14ac:dyDescent="0.25">
      <c r="A339" t="s">
        <v>3159</v>
      </c>
      <c r="B339" t="s">
        <v>1953</v>
      </c>
      <c r="C339" t="s">
        <v>1953</v>
      </c>
      <c r="D339">
        <v>32</v>
      </c>
      <c r="E339">
        <v>6</v>
      </c>
      <c r="F339">
        <v>9</v>
      </c>
      <c r="G339">
        <v>12</v>
      </c>
      <c r="H339" t="s">
        <v>2814</v>
      </c>
      <c r="I33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39" t="s">
        <v>344</v>
      </c>
      <c r="K339" t="str">
        <f>RIGHT(Tabla2[[#This Row],[codigo_producto]],LEN(Tabla2[[#This Row],[codigo_producto]])-FIND("/",Tabla2[[#This Row],[codigo_producto]]))</f>
        <v>BJY73328ZA</v>
      </c>
      <c r="L339" t="str">
        <f>LEFT(Tabla2[[#This Row],[codigo_producto]],FIND("/",Tabla2[[#This Row],[codigo_producto]])-1)</f>
        <v>2</v>
      </c>
      <c r="M33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40" spans="1:13" x14ac:dyDescent="0.25">
      <c r="A340" t="s">
        <v>3160</v>
      </c>
      <c r="B340" t="s">
        <v>1957</v>
      </c>
      <c r="C340" t="s">
        <v>1957</v>
      </c>
      <c r="D340">
        <v>32</v>
      </c>
      <c r="E340">
        <v>6</v>
      </c>
      <c r="F340">
        <v>9</v>
      </c>
      <c r="G340">
        <v>12</v>
      </c>
      <c r="H340" t="s">
        <v>2814</v>
      </c>
      <c r="I34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40" t="s">
        <v>345</v>
      </c>
      <c r="K340" t="str">
        <f>RIGHT(Tabla2[[#This Row],[codigo_producto]],LEN(Tabla2[[#This Row],[codigo_producto]])-FIND("/",Tabla2[[#This Row],[codigo_producto]]))</f>
        <v>BLD451160A</v>
      </c>
      <c r="L340" t="str">
        <f>LEFT(Tabla2[[#This Row],[codigo_producto]],FIND("/",Tabla2[[#This Row],[codigo_producto]])-1)</f>
        <v>2</v>
      </c>
      <c r="M34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41" spans="1:13" x14ac:dyDescent="0.25">
      <c r="A341" t="s">
        <v>3161</v>
      </c>
      <c r="B341" t="s">
        <v>1958</v>
      </c>
      <c r="C341" t="s">
        <v>1958</v>
      </c>
      <c r="D341">
        <v>32</v>
      </c>
      <c r="E341">
        <v>6</v>
      </c>
      <c r="F341">
        <v>9</v>
      </c>
      <c r="G341">
        <v>12</v>
      </c>
      <c r="H341" t="s">
        <v>2814</v>
      </c>
      <c r="I34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41" t="s">
        <v>346</v>
      </c>
      <c r="K341" t="str">
        <f>RIGHT(Tabla2[[#This Row],[codigo_producto]],LEN(Tabla2[[#This Row],[codigo_producto]])-FIND("/",Tabla2[[#This Row],[codigo_producto]]))</f>
        <v>BN7N66490A</v>
      </c>
      <c r="L341" t="str">
        <f>LEFT(Tabla2[[#This Row],[codigo_producto]],FIND("/",Tabla2[[#This Row],[codigo_producto]])-1)</f>
        <v>2</v>
      </c>
      <c r="M34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42" spans="1:13" x14ac:dyDescent="0.25">
      <c r="A342" t="s">
        <v>3162</v>
      </c>
      <c r="B342" t="s">
        <v>1959</v>
      </c>
      <c r="C342" t="s">
        <v>1959</v>
      </c>
      <c r="D342">
        <v>32</v>
      </c>
      <c r="E342">
        <v>6</v>
      </c>
      <c r="F342">
        <v>9</v>
      </c>
      <c r="G342">
        <v>12</v>
      </c>
      <c r="H342" t="s">
        <v>2814</v>
      </c>
      <c r="I34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42" t="s">
        <v>347</v>
      </c>
      <c r="K342" t="str">
        <f>RIGHT(Tabla2[[#This Row],[codigo_producto]],LEN(Tabla2[[#This Row],[codigo_producto]])-FIND("/",Tabla2[[#This Row],[codigo_producto]]))</f>
        <v>BP4L32682B</v>
      </c>
      <c r="L342" t="str">
        <f>LEFT(Tabla2[[#This Row],[codigo_producto]],FIND("/",Tabla2[[#This Row],[codigo_producto]])-1)</f>
        <v>2</v>
      </c>
      <c r="M34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43" spans="1:13" x14ac:dyDescent="0.25">
      <c r="A343" t="s">
        <v>3163</v>
      </c>
      <c r="B343" t="s">
        <v>1960</v>
      </c>
      <c r="C343" t="s">
        <v>1960</v>
      </c>
      <c r="D343">
        <v>32</v>
      </c>
      <c r="E343">
        <v>6</v>
      </c>
      <c r="F343">
        <v>9</v>
      </c>
      <c r="G343">
        <v>12</v>
      </c>
      <c r="H343" t="s">
        <v>2814</v>
      </c>
      <c r="I34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43" t="s">
        <v>348</v>
      </c>
      <c r="K343" t="str">
        <f>RIGHT(Tabla2[[#This Row],[codigo_producto]],LEN(Tabla2[[#This Row],[codigo_producto]])-FIND("/",Tabla2[[#This Row],[codigo_producto]]))</f>
        <v>C2Y32648ZA</v>
      </c>
      <c r="L343" t="str">
        <f>LEFT(Tabla2[[#This Row],[codigo_producto]],FIND("/",Tabla2[[#This Row],[codigo_producto]])-1)</f>
        <v>2</v>
      </c>
      <c r="M34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44" spans="1:13" x14ac:dyDescent="0.25">
      <c r="A344" t="s">
        <v>3164</v>
      </c>
      <c r="B344" t="s">
        <v>1712</v>
      </c>
      <c r="C344" t="s">
        <v>1712</v>
      </c>
      <c r="D344">
        <v>32</v>
      </c>
      <c r="E344">
        <v>6</v>
      </c>
      <c r="F344">
        <v>9</v>
      </c>
      <c r="G344">
        <v>12</v>
      </c>
      <c r="H344" t="s">
        <v>2814</v>
      </c>
      <c r="I34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44" t="s">
        <v>349</v>
      </c>
      <c r="K344" t="str">
        <f>RIGHT(Tabla2[[#This Row],[codigo_producto]],LEN(Tabla2[[#This Row],[codigo_producto]])-FIND("/",Tabla2[[#This Row],[codigo_producto]]))</f>
        <v>CA0214302A</v>
      </c>
      <c r="L344" t="str">
        <f>LEFT(Tabla2[[#This Row],[codigo_producto]],FIND("/",Tabla2[[#This Row],[codigo_producto]])-1)</f>
        <v>2</v>
      </c>
      <c r="M34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45" spans="1:13" x14ac:dyDescent="0.25">
      <c r="A345" t="s">
        <v>3165</v>
      </c>
      <c r="B345" t="s">
        <v>1961</v>
      </c>
      <c r="C345" t="s">
        <v>1961</v>
      </c>
      <c r="D345">
        <v>32</v>
      </c>
      <c r="E345">
        <v>6</v>
      </c>
      <c r="F345">
        <v>9</v>
      </c>
      <c r="G345">
        <v>12</v>
      </c>
      <c r="H345" t="s">
        <v>2814</v>
      </c>
      <c r="I34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45" t="s">
        <v>350</v>
      </c>
      <c r="K345" t="str">
        <f>RIGHT(Tabla2[[#This Row],[codigo_producto]],LEN(Tabla2[[#This Row],[codigo_producto]])-FIND("/",Tabla2[[#This Row],[codigo_producto]]))</f>
        <v>CY0113Z40A</v>
      </c>
      <c r="L345" t="str">
        <f>LEFT(Tabla2[[#This Row],[codigo_producto]],FIND("/",Tabla2[[#This Row],[codigo_producto]])-1)</f>
        <v>2</v>
      </c>
      <c r="M34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46" spans="1:13" x14ac:dyDescent="0.25">
      <c r="A346" t="s">
        <v>3166</v>
      </c>
      <c r="B346" t="s">
        <v>1962</v>
      </c>
      <c r="C346" t="s">
        <v>1962</v>
      </c>
      <c r="D346">
        <v>32</v>
      </c>
      <c r="E346">
        <v>6</v>
      </c>
      <c r="F346">
        <v>9</v>
      </c>
      <c r="G346">
        <v>12</v>
      </c>
      <c r="H346" t="s">
        <v>2814</v>
      </c>
      <c r="I34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46" t="s">
        <v>351</v>
      </c>
      <c r="K346" t="str">
        <f>RIGHT(Tabla2[[#This Row],[codigo_producto]],LEN(Tabla2[[#This Row],[codigo_producto]])-FIND("/",Tabla2[[#This Row],[codigo_producto]]))</f>
        <v>D0YN3328ZB</v>
      </c>
      <c r="L346" t="str">
        <f>LEFT(Tabla2[[#This Row],[codigo_producto]],FIND("/",Tabla2[[#This Row],[codigo_producto]])-1)</f>
        <v>2</v>
      </c>
      <c r="M34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47" spans="1:13" x14ac:dyDescent="0.25">
      <c r="A347" t="s">
        <v>3167</v>
      </c>
      <c r="B347" t="s">
        <v>1963</v>
      </c>
      <c r="C347" t="s">
        <v>1963</v>
      </c>
      <c r="D347">
        <v>32</v>
      </c>
      <c r="E347">
        <v>6</v>
      </c>
      <c r="F347">
        <v>9</v>
      </c>
      <c r="G347">
        <v>12</v>
      </c>
      <c r="H347" t="s">
        <v>2814</v>
      </c>
      <c r="I34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47" t="s">
        <v>352</v>
      </c>
      <c r="K347" t="str">
        <f>RIGHT(Tabla2[[#This Row],[codigo_producto]],LEN(Tabla2[[#This Row],[codigo_producto]])-FIND("/",Tabla2[[#This Row],[codigo_producto]]))</f>
        <v>D10E340A3C</v>
      </c>
      <c r="L347" t="str">
        <f>LEFT(Tabla2[[#This Row],[codigo_producto]],FIND("/",Tabla2[[#This Row],[codigo_producto]])-1)</f>
        <v>2</v>
      </c>
      <c r="M34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48" spans="1:13" x14ac:dyDescent="0.25">
      <c r="A348" t="s">
        <v>3168</v>
      </c>
      <c r="B348" t="s">
        <v>1964</v>
      </c>
      <c r="C348" t="s">
        <v>1964</v>
      </c>
      <c r="D348">
        <v>32</v>
      </c>
      <c r="E348">
        <v>6</v>
      </c>
      <c r="F348">
        <v>9</v>
      </c>
      <c r="G348">
        <v>12</v>
      </c>
      <c r="H348" t="s">
        <v>2814</v>
      </c>
      <c r="I34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48" t="s">
        <v>353</v>
      </c>
      <c r="K348" t="str">
        <f>RIGHT(Tabla2[[#This Row],[codigo_producto]],LEN(Tabla2[[#This Row],[codigo_producto]])-FIND("/",Tabla2[[#This Row],[codigo_producto]]))</f>
        <v>D2Y12643ZA</v>
      </c>
      <c r="L348" t="str">
        <f>LEFT(Tabla2[[#This Row],[codigo_producto]],FIND("/",Tabla2[[#This Row],[codigo_producto]])-1)</f>
        <v>2</v>
      </c>
      <c r="M34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49" spans="1:13" x14ac:dyDescent="0.25">
      <c r="A349" t="s">
        <v>3169</v>
      </c>
      <c r="B349" t="s">
        <v>1831</v>
      </c>
      <c r="C349" t="s">
        <v>1831</v>
      </c>
      <c r="D349">
        <v>32</v>
      </c>
      <c r="E349">
        <v>6</v>
      </c>
      <c r="F349">
        <v>9</v>
      </c>
      <c r="G349">
        <v>12</v>
      </c>
      <c r="H349" t="s">
        <v>2814</v>
      </c>
      <c r="I34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49" t="s">
        <v>354</v>
      </c>
      <c r="K349" t="str">
        <f>RIGHT(Tabla2[[#This Row],[codigo_producto]],LEN(Tabla2[[#This Row],[codigo_producto]])-FIND("/",Tabla2[[#This Row],[codigo_producto]]))</f>
        <v>D4YS3328ZA</v>
      </c>
      <c r="L349" t="str">
        <f>LEFT(Tabla2[[#This Row],[codigo_producto]],FIND("/",Tabla2[[#This Row],[codigo_producto]])-1)</f>
        <v>2</v>
      </c>
      <c r="M34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50" spans="1:13" x14ac:dyDescent="0.25">
      <c r="A350" t="s">
        <v>3170</v>
      </c>
      <c r="B350" t="s">
        <v>1965</v>
      </c>
      <c r="C350" t="s">
        <v>1965</v>
      </c>
      <c r="D350">
        <v>32</v>
      </c>
      <c r="E350">
        <v>6</v>
      </c>
      <c r="F350">
        <v>9</v>
      </c>
      <c r="G350">
        <v>12</v>
      </c>
      <c r="H350" t="s">
        <v>2814</v>
      </c>
      <c r="I35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50" t="s">
        <v>355</v>
      </c>
      <c r="K350" t="str">
        <f>RIGHT(Tabla2[[#This Row],[codigo_producto]],LEN(Tabla2[[#This Row],[codigo_producto]])-FIND("/",Tabla2[[#This Row],[codigo_producto]]))</f>
        <v>D54E28700B</v>
      </c>
      <c r="L350" t="str">
        <f>LEFT(Tabla2[[#This Row],[codigo_producto]],FIND("/",Tabla2[[#This Row],[codigo_producto]])-1)</f>
        <v>2</v>
      </c>
      <c r="M35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51" spans="1:13" x14ac:dyDescent="0.25">
      <c r="A351" t="s">
        <v>3171</v>
      </c>
      <c r="B351" t="s">
        <v>1956</v>
      </c>
      <c r="C351" t="s">
        <v>1956</v>
      </c>
      <c r="D351">
        <v>32</v>
      </c>
      <c r="E351">
        <v>6</v>
      </c>
      <c r="F351">
        <v>9</v>
      </c>
      <c r="G351">
        <v>12</v>
      </c>
      <c r="H351" t="s">
        <v>2814</v>
      </c>
      <c r="I35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51" t="s">
        <v>356</v>
      </c>
      <c r="K351" t="str">
        <f>RIGHT(Tabla2[[#This Row],[codigo_producto]],LEN(Tabla2[[#This Row],[codigo_producto]])-FIND("/",Tabla2[[#This Row],[codigo_producto]]))</f>
        <v>DAY32648ZA</v>
      </c>
      <c r="L351" t="str">
        <f>LEFT(Tabla2[[#This Row],[codigo_producto]],FIND("/",Tabla2[[#This Row],[codigo_producto]])-1)</f>
        <v>2</v>
      </c>
      <c r="M35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52" spans="1:13" x14ac:dyDescent="0.25">
      <c r="A352" t="s">
        <v>3172</v>
      </c>
      <c r="B352" t="s">
        <v>1956</v>
      </c>
      <c r="C352" t="s">
        <v>1956</v>
      </c>
      <c r="D352">
        <v>32</v>
      </c>
      <c r="E352">
        <v>6</v>
      </c>
      <c r="F352">
        <v>9</v>
      </c>
      <c r="G352">
        <v>12</v>
      </c>
      <c r="H352" t="s">
        <v>2814</v>
      </c>
      <c r="I35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52" t="s">
        <v>357</v>
      </c>
      <c r="K352" t="str">
        <f>RIGHT(Tabla2[[#This Row],[codigo_producto]],LEN(Tabla2[[#This Row],[codigo_producto]])-FIND("/",Tabla2[[#This Row],[codigo_producto]]))</f>
        <v>DAY32648ZB</v>
      </c>
      <c r="L352" t="str">
        <f>LEFT(Tabla2[[#This Row],[codigo_producto]],FIND("/",Tabla2[[#This Row],[codigo_producto]])-1)</f>
        <v>2</v>
      </c>
      <c r="M35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53" spans="1:13" x14ac:dyDescent="0.25">
      <c r="A353" t="s">
        <v>3173</v>
      </c>
      <c r="B353" t="s">
        <v>1966</v>
      </c>
      <c r="C353" t="s">
        <v>1966</v>
      </c>
      <c r="D353">
        <v>32</v>
      </c>
      <c r="E353">
        <v>6</v>
      </c>
      <c r="F353">
        <v>9</v>
      </c>
      <c r="G353">
        <v>12</v>
      </c>
      <c r="H353" t="s">
        <v>2814</v>
      </c>
      <c r="I35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53" t="s">
        <v>358</v>
      </c>
      <c r="K353" t="str">
        <f>RIGHT(Tabla2[[#This Row],[codigo_producto]],LEN(Tabla2[[#This Row],[codigo_producto]])-FIND("/",Tabla2[[#This Row],[codigo_producto]]))</f>
        <v>DB7C28700C</v>
      </c>
      <c r="L353" t="str">
        <f>LEFT(Tabla2[[#This Row],[codigo_producto]],FIND("/",Tabla2[[#This Row],[codigo_producto]])-1)</f>
        <v>2</v>
      </c>
      <c r="M35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54" spans="1:13" x14ac:dyDescent="0.25">
      <c r="A354" t="s">
        <v>3174</v>
      </c>
      <c r="B354" t="s">
        <v>1966</v>
      </c>
      <c r="C354" t="s">
        <v>1966</v>
      </c>
      <c r="D354">
        <v>32</v>
      </c>
      <c r="E354">
        <v>6</v>
      </c>
      <c r="F354">
        <v>9</v>
      </c>
      <c r="G354">
        <v>12</v>
      </c>
      <c r="H354" t="s">
        <v>2814</v>
      </c>
      <c r="I35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54" t="s">
        <v>359</v>
      </c>
      <c r="K354" t="str">
        <f>RIGHT(Tabla2[[#This Row],[codigo_producto]],LEN(Tabla2[[#This Row],[codigo_producto]])-FIND("/",Tabla2[[#This Row],[codigo_producto]]))</f>
        <v>DD1V28700G</v>
      </c>
      <c r="L354" t="str">
        <f>LEFT(Tabla2[[#This Row],[codigo_producto]],FIND("/",Tabla2[[#This Row],[codigo_producto]])-1)</f>
        <v>2</v>
      </c>
      <c r="M35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55" spans="1:13" x14ac:dyDescent="0.25">
      <c r="A355" t="s">
        <v>3175</v>
      </c>
      <c r="B355" t="s">
        <v>1967</v>
      </c>
      <c r="C355" t="s">
        <v>1967</v>
      </c>
      <c r="D355">
        <v>32</v>
      </c>
      <c r="E355">
        <v>6</v>
      </c>
      <c r="F355">
        <v>9</v>
      </c>
      <c r="G355">
        <v>12</v>
      </c>
      <c r="H355" t="s">
        <v>2814</v>
      </c>
      <c r="I35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55" t="s">
        <v>360</v>
      </c>
      <c r="K355" t="str">
        <f>RIGHT(Tabla2[[#This Row],[codigo_producto]],LEN(Tabla2[[#This Row],[codigo_producto]])-FIND("/",Tabla2[[#This Row],[codigo_producto]]))</f>
        <v>DFR550ES1A</v>
      </c>
      <c r="L355" t="str">
        <f>LEFT(Tabla2[[#This Row],[codigo_producto]],FIND("/",Tabla2[[#This Row],[codigo_producto]])-1)</f>
        <v>2</v>
      </c>
      <c r="M35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56" spans="1:13" x14ac:dyDescent="0.25">
      <c r="A356" t="s">
        <v>3176</v>
      </c>
      <c r="B356" t="s">
        <v>1968</v>
      </c>
      <c r="C356" t="s">
        <v>1968</v>
      </c>
      <c r="D356">
        <v>32</v>
      </c>
      <c r="E356">
        <v>6</v>
      </c>
      <c r="F356">
        <v>9</v>
      </c>
      <c r="G356">
        <v>12</v>
      </c>
      <c r="H356" t="s">
        <v>2814</v>
      </c>
      <c r="I35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56" t="s">
        <v>361</v>
      </c>
      <c r="K356" t="str">
        <f>RIGHT(Tabla2[[#This Row],[codigo_producto]],LEN(Tabla2[[#This Row],[codigo_producto]])-FIND("/",Tabla2[[#This Row],[codigo_producto]]))</f>
        <v>DFR551W20C</v>
      </c>
      <c r="L356" t="str">
        <f>LEFT(Tabla2[[#This Row],[codigo_producto]],FIND("/",Tabla2[[#This Row],[codigo_producto]])-1)</f>
        <v>2</v>
      </c>
      <c r="M35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57" spans="1:13" x14ac:dyDescent="0.25">
      <c r="A357" t="s">
        <v>3177</v>
      </c>
      <c r="B357" t="s">
        <v>1955</v>
      </c>
      <c r="C357" t="s">
        <v>1955</v>
      </c>
      <c r="D357">
        <v>32</v>
      </c>
      <c r="E357">
        <v>6</v>
      </c>
      <c r="F357">
        <v>9</v>
      </c>
      <c r="G357">
        <v>12</v>
      </c>
      <c r="H357" t="s">
        <v>2814</v>
      </c>
      <c r="I35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57" t="s">
        <v>362</v>
      </c>
      <c r="K357" t="str">
        <f>RIGHT(Tabla2[[#This Row],[codigo_producto]],LEN(Tabla2[[#This Row],[codigo_producto]])-FIND("/",Tabla2[[#This Row],[codigo_producto]]))</f>
        <v>DFZ52643ZB</v>
      </c>
      <c r="L357" t="str">
        <f>LEFT(Tabla2[[#This Row],[codigo_producto]],FIND("/",Tabla2[[#This Row],[codigo_producto]])-1)</f>
        <v>2</v>
      </c>
      <c r="M35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58" spans="1:13" x14ac:dyDescent="0.25">
      <c r="A358" t="s">
        <v>3178</v>
      </c>
      <c r="B358" t="s">
        <v>1823</v>
      </c>
      <c r="C358" t="s">
        <v>1823</v>
      </c>
      <c r="D358">
        <v>32</v>
      </c>
      <c r="E358">
        <v>6</v>
      </c>
      <c r="F358">
        <v>9</v>
      </c>
      <c r="G358">
        <v>12</v>
      </c>
      <c r="H358" t="s">
        <v>2814</v>
      </c>
      <c r="I35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58" t="s">
        <v>363</v>
      </c>
      <c r="K358" t="str">
        <f>RIGHT(Tabla2[[#This Row],[codigo_producto]],LEN(Tabla2[[#This Row],[codigo_producto]])-FIND("/",Tabla2[[#This Row],[codigo_producto]]))</f>
        <v>DH2E28910C</v>
      </c>
      <c r="L358" t="str">
        <f>LEFT(Tabla2[[#This Row],[codigo_producto]],FIND("/",Tabla2[[#This Row],[codigo_producto]])-1)</f>
        <v>2</v>
      </c>
      <c r="M35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59" spans="1:13" x14ac:dyDescent="0.25">
      <c r="A359" t="s">
        <v>3179</v>
      </c>
      <c r="B359" t="s">
        <v>1835</v>
      </c>
      <c r="C359" t="s">
        <v>1835</v>
      </c>
      <c r="D359">
        <v>32</v>
      </c>
      <c r="E359">
        <v>6</v>
      </c>
      <c r="F359">
        <v>9</v>
      </c>
      <c r="G359">
        <v>12</v>
      </c>
      <c r="H359" t="s">
        <v>2814</v>
      </c>
      <c r="I35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59" t="s">
        <v>364</v>
      </c>
      <c r="K359" t="str">
        <f>RIGHT(Tabla2[[#This Row],[codigo_producto]],LEN(Tabla2[[#This Row],[codigo_producto]])-FIND("/",Tabla2[[#This Row],[codigo_producto]]))</f>
        <v>DH2E34700A</v>
      </c>
      <c r="L359" t="str">
        <f>LEFT(Tabla2[[#This Row],[codigo_producto]],FIND("/",Tabla2[[#This Row],[codigo_producto]])-1)</f>
        <v>2</v>
      </c>
      <c r="M35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60" spans="1:13" x14ac:dyDescent="0.25">
      <c r="A360" t="s">
        <v>3180</v>
      </c>
      <c r="B360" t="s">
        <v>1836</v>
      </c>
      <c r="C360" t="s">
        <v>1836</v>
      </c>
      <c r="D360">
        <v>32</v>
      </c>
      <c r="E360">
        <v>6</v>
      </c>
      <c r="F360">
        <v>9</v>
      </c>
      <c r="G360">
        <v>12</v>
      </c>
      <c r="H360" t="s">
        <v>2814</v>
      </c>
      <c r="I36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60" t="s">
        <v>365</v>
      </c>
      <c r="K360" t="str">
        <f>RIGHT(Tabla2[[#This Row],[codigo_producto]],LEN(Tabla2[[#This Row],[codigo_producto]])-FIND("/",Tabla2[[#This Row],[codigo_producto]]))</f>
        <v>DH2E34900A</v>
      </c>
      <c r="L360" t="str">
        <f>LEFT(Tabla2[[#This Row],[codigo_producto]],FIND("/",Tabla2[[#This Row],[codigo_producto]])-1)</f>
        <v>2</v>
      </c>
      <c r="M36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61" spans="1:13" x14ac:dyDescent="0.25">
      <c r="A361" t="s">
        <v>3181</v>
      </c>
      <c r="B361" t="s">
        <v>1969</v>
      </c>
      <c r="C361" t="s">
        <v>1969</v>
      </c>
      <c r="D361">
        <v>32</v>
      </c>
      <c r="E361">
        <v>6</v>
      </c>
      <c r="F361">
        <v>9</v>
      </c>
      <c r="G361">
        <v>12</v>
      </c>
      <c r="H361" t="s">
        <v>2814</v>
      </c>
      <c r="I36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61" t="s">
        <v>366</v>
      </c>
      <c r="K361" t="str">
        <f>RIGHT(Tabla2[[#This Row],[codigo_producto]],LEN(Tabla2[[#This Row],[codigo_producto]])-FIND("/",Tabla2[[#This Row],[codigo_producto]]))</f>
        <v>DK5151270B</v>
      </c>
      <c r="L361" t="str">
        <f>LEFT(Tabla2[[#This Row],[codigo_producto]],FIND("/",Tabla2[[#This Row],[codigo_producto]])-1)</f>
        <v>2</v>
      </c>
      <c r="M36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62" spans="1:13" x14ac:dyDescent="0.25">
      <c r="A362" t="s">
        <v>3182</v>
      </c>
      <c r="B362" t="s">
        <v>1970</v>
      </c>
      <c r="C362" t="s">
        <v>1970</v>
      </c>
      <c r="D362">
        <v>32</v>
      </c>
      <c r="E362">
        <v>6</v>
      </c>
      <c r="F362">
        <v>9</v>
      </c>
      <c r="G362">
        <v>12</v>
      </c>
      <c r="H362" t="s">
        <v>2814</v>
      </c>
      <c r="I36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62" t="s">
        <v>367</v>
      </c>
      <c r="K362" t="str">
        <f>RIGHT(Tabla2[[#This Row],[codigo_producto]],LEN(Tabla2[[#This Row],[codigo_producto]])-FIND("/",Tabla2[[#This Row],[codigo_producto]]))</f>
        <v>K01126251C</v>
      </c>
      <c r="L362" t="str">
        <f>LEFT(Tabla2[[#This Row],[codigo_producto]],FIND("/",Tabla2[[#This Row],[codigo_producto]])-1)</f>
        <v>2</v>
      </c>
      <c r="M36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63" spans="1:13" x14ac:dyDescent="0.25">
      <c r="A363" t="s">
        <v>3183</v>
      </c>
      <c r="B363" t="s">
        <v>1971</v>
      </c>
      <c r="C363" t="s">
        <v>1971</v>
      </c>
      <c r="D363">
        <v>32</v>
      </c>
      <c r="E363">
        <v>6</v>
      </c>
      <c r="F363">
        <v>9</v>
      </c>
      <c r="G363">
        <v>12</v>
      </c>
      <c r="H363" t="s">
        <v>2814</v>
      </c>
      <c r="I36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63" t="s">
        <v>368</v>
      </c>
      <c r="K363" t="str">
        <f>RIGHT(Tabla2[[#This Row],[codigo_producto]],LEN(Tabla2[[#This Row],[codigo_producto]])-FIND("/",Tabla2[[#This Row],[codigo_producto]]))</f>
        <v>K01133251B</v>
      </c>
      <c r="L363" t="str">
        <f>LEFT(Tabla2[[#This Row],[codigo_producto]],FIND("/",Tabla2[[#This Row],[codigo_producto]])-1)</f>
        <v>2</v>
      </c>
      <c r="M36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64" spans="1:13" x14ac:dyDescent="0.25">
      <c r="A364" t="s">
        <v>3184</v>
      </c>
      <c r="B364" t="s">
        <v>1972</v>
      </c>
      <c r="C364" t="s">
        <v>1972</v>
      </c>
      <c r="D364">
        <v>32</v>
      </c>
      <c r="E364">
        <v>6</v>
      </c>
      <c r="F364">
        <v>9</v>
      </c>
      <c r="G364">
        <v>12</v>
      </c>
      <c r="H364" t="s">
        <v>2814</v>
      </c>
      <c r="I36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64" t="s">
        <v>369</v>
      </c>
      <c r="K364" t="str">
        <f>RIGHT(Tabla2[[#This Row],[codigo_producto]],LEN(Tabla2[[#This Row],[codigo_producto]])-FIND("/",Tabla2[[#This Row],[codigo_producto]]))</f>
        <v>K020W0052E</v>
      </c>
      <c r="L364" t="str">
        <f>LEFT(Tabla2[[#This Row],[codigo_producto]],FIND("/",Tabla2[[#This Row],[codigo_producto]])-1)</f>
        <v>2</v>
      </c>
      <c r="M36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65" spans="1:13" x14ac:dyDescent="0.25">
      <c r="A365" t="s">
        <v>3185</v>
      </c>
      <c r="B365" t="s">
        <v>1973</v>
      </c>
      <c r="C365" t="s">
        <v>1973</v>
      </c>
      <c r="D365">
        <v>32</v>
      </c>
      <c r="E365">
        <v>6</v>
      </c>
      <c r="F365">
        <v>9</v>
      </c>
      <c r="G365">
        <v>12</v>
      </c>
      <c r="H365" t="s">
        <v>2814</v>
      </c>
      <c r="I36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65" t="s">
        <v>370</v>
      </c>
      <c r="K365" t="str">
        <f>RIGHT(Tabla2[[#This Row],[codigo_producto]],LEN(Tabla2[[#This Row],[codigo_producto]])-FIND("/",Tabla2[[#This Row],[codigo_producto]]))</f>
        <v>K020W0053E</v>
      </c>
      <c r="L365" t="str">
        <f>LEFT(Tabla2[[#This Row],[codigo_producto]],FIND("/",Tabla2[[#This Row],[codigo_producto]])-1)</f>
        <v>2</v>
      </c>
      <c r="M36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66" spans="1:13" x14ac:dyDescent="0.25">
      <c r="A366" t="s">
        <v>3186</v>
      </c>
      <c r="B366" t="s">
        <v>1974</v>
      </c>
      <c r="C366" t="s">
        <v>1974</v>
      </c>
      <c r="D366">
        <v>32</v>
      </c>
      <c r="E366">
        <v>6</v>
      </c>
      <c r="F366">
        <v>9</v>
      </c>
      <c r="G366">
        <v>12</v>
      </c>
      <c r="H366" t="s">
        <v>2814</v>
      </c>
      <c r="I36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66" t="s">
        <v>371</v>
      </c>
      <c r="K366" t="str">
        <f>RIGHT(Tabla2[[#This Row],[codigo_producto]],LEN(Tabla2[[#This Row],[codigo_producto]])-FIND("/",Tabla2[[#This Row],[codigo_producto]]))</f>
        <v>K0Y12648ZC</v>
      </c>
      <c r="L366" t="str">
        <f>LEFT(Tabla2[[#This Row],[codigo_producto]],FIND("/",Tabla2[[#This Row],[codigo_producto]])-1)</f>
        <v>2</v>
      </c>
      <c r="M36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67" spans="1:13" x14ac:dyDescent="0.25">
      <c r="A367" t="s">
        <v>3187</v>
      </c>
      <c r="B367" t="s">
        <v>1831</v>
      </c>
      <c r="C367" t="s">
        <v>1831</v>
      </c>
      <c r="D367">
        <v>32</v>
      </c>
      <c r="E367">
        <v>6</v>
      </c>
      <c r="F367">
        <v>9</v>
      </c>
      <c r="G367">
        <v>12</v>
      </c>
      <c r="H367" t="s">
        <v>2814</v>
      </c>
      <c r="I36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67" t="s">
        <v>372</v>
      </c>
      <c r="K367" t="str">
        <f>RIGHT(Tabla2[[#This Row],[codigo_producto]],LEN(Tabla2[[#This Row],[codigo_producto]])-FIND("/",Tabla2[[#This Row],[codigo_producto]]))</f>
        <v>K0Y13328ZB</v>
      </c>
      <c r="L367" t="str">
        <f>LEFT(Tabla2[[#This Row],[codigo_producto]],FIND("/",Tabla2[[#This Row],[codigo_producto]])-1)</f>
        <v>2</v>
      </c>
      <c r="M36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68" spans="1:13" x14ac:dyDescent="0.25">
      <c r="A368" t="s">
        <v>3188</v>
      </c>
      <c r="B368" t="s">
        <v>1975</v>
      </c>
      <c r="C368" t="s">
        <v>1975</v>
      </c>
      <c r="D368">
        <v>32</v>
      </c>
      <c r="E368">
        <v>6</v>
      </c>
      <c r="F368">
        <v>9</v>
      </c>
      <c r="G368">
        <v>12</v>
      </c>
      <c r="H368" t="s">
        <v>2814</v>
      </c>
      <c r="I36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68" t="s">
        <v>373</v>
      </c>
      <c r="K368" t="str">
        <f>RIGHT(Tabla2[[#This Row],[codigo_producto]],LEN(Tabla2[[#This Row],[codigo_producto]])-FIND("/",Tabla2[[#This Row],[codigo_producto]]))</f>
        <v>KA0G34300J</v>
      </c>
      <c r="L368" t="str">
        <f>LEFT(Tabla2[[#This Row],[codigo_producto]],FIND("/",Tabla2[[#This Row],[codigo_producto]])-1)</f>
        <v>2</v>
      </c>
      <c r="M36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69" spans="1:13" x14ac:dyDescent="0.25">
      <c r="A369" t="s">
        <v>3189</v>
      </c>
      <c r="B369" t="s">
        <v>1976</v>
      </c>
      <c r="C369" t="s">
        <v>1976</v>
      </c>
      <c r="D369">
        <v>32</v>
      </c>
      <c r="E369">
        <v>6</v>
      </c>
      <c r="F369">
        <v>9</v>
      </c>
      <c r="G369">
        <v>12</v>
      </c>
      <c r="H369" t="s">
        <v>2814</v>
      </c>
      <c r="I36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69" t="s">
        <v>374</v>
      </c>
      <c r="K369" t="str">
        <f>RIGHT(Tabla2[[#This Row],[codigo_producto]],LEN(Tabla2[[#This Row],[codigo_producto]])-FIND("/",Tabla2[[#This Row],[codigo_producto]]))</f>
        <v>KA0G34350J</v>
      </c>
      <c r="L369" t="str">
        <f>LEFT(Tabla2[[#This Row],[codigo_producto]],FIND("/",Tabla2[[#This Row],[codigo_producto]])-1)</f>
        <v>2</v>
      </c>
      <c r="M36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70" spans="1:13" x14ac:dyDescent="0.25">
      <c r="A370" t="s">
        <v>3190</v>
      </c>
      <c r="B370" t="s">
        <v>1977</v>
      </c>
      <c r="C370" t="s">
        <v>1977</v>
      </c>
      <c r="D370">
        <v>32</v>
      </c>
      <c r="E370">
        <v>6</v>
      </c>
      <c r="F370">
        <v>9</v>
      </c>
      <c r="G370">
        <v>12</v>
      </c>
      <c r="H370" t="s">
        <v>2814</v>
      </c>
      <c r="I37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70" t="s">
        <v>375</v>
      </c>
      <c r="K370" t="str">
        <f>RIGHT(Tabla2[[#This Row],[codigo_producto]],LEN(Tabla2[[#This Row],[codigo_producto]])-FIND("/",Tabla2[[#This Row],[codigo_producto]]))</f>
        <v>KA0H51684A</v>
      </c>
      <c r="L370" t="str">
        <f>LEFT(Tabla2[[#This Row],[codigo_producto]],FIND("/",Tabla2[[#This Row],[codigo_producto]])-1)</f>
        <v>2</v>
      </c>
      <c r="M37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71" spans="1:13" x14ac:dyDescent="0.25">
      <c r="A371" t="s">
        <v>3191</v>
      </c>
      <c r="B371" t="s">
        <v>1978</v>
      </c>
      <c r="C371" t="s">
        <v>1978</v>
      </c>
      <c r="D371">
        <v>32</v>
      </c>
      <c r="E371">
        <v>6</v>
      </c>
      <c r="F371">
        <v>9</v>
      </c>
      <c r="G371">
        <v>12</v>
      </c>
      <c r="H371" t="s">
        <v>2814</v>
      </c>
      <c r="I37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71" t="s">
        <v>376</v>
      </c>
      <c r="K371" t="str">
        <f>RIGHT(Tabla2[[#This Row],[codigo_producto]],LEN(Tabla2[[#This Row],[codigo_producto]])-FIND("/",Tabla2[[#This Row],[codigo_producto]]))</f>
        <v>KA0T34700A</v>
      </c>
      <c r="L371" t="str">
        <f>LEFT(Tabla2[[#This Row],[codigo_producto]],FIND("/",Tabla2[[#This Row],[codigo_producto]])-1)</f>
        <v>2</v>
      </c>
      <c r="M37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72" spans="1:13" x14ac:dyDescent="0.25">
      <c r="A372" t="s">
        <v>3192</v>
      </c>
      <c r="B372" t="s">
        <v>1979</v>
      </c>
      <c r="C372" t="s">
        <v>1979</v>
      </c>
      <c r="D372">
        <v>32</v>
      </c>
      <c r="E372">
        <v>6</v>
      </c>
      <c r="F372">
        <v>9</v>
      </c>
      <c r="G372">
        <v>12</v>
      </c>
      <c r="H372" t="s">
        <v>2814</v>
      </c>
      <c r="I37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72" t="s">
        <v>377</v>
      </c>
      <c r="K372" t="str">
        <f>RIGHT(Tabla2[[#This Row],[codigo_producto]],LEN(Tabla2[[#This Row],[codigo_producto]])-FIND("/",Tabla2[[#This Row],[codigo_producto]]))</f>
        <v>KA0T34900A</v>
      </c>
      <c r="L372" t="str">
        <f>LEFT(Tabla2[[#This Row],[codigo_producto]],FIND("/",Tabla2[[#This Row],[codigo_producto]])-1)</f>
        <v>2</v>
      </c>
      <c r="M37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73" spans="1:13" x14ac:dyDescent="0.25">
      <c r="A373" t="s">
        <v>3193</v>
      </c>
      <c r="B373" t="s">
        <v>1837</v>
      </c>
      <c r="C373" t="s">
        <v>1837</v>
      </c>
      <c r="D373">
        <v>32</v>
      </c>
      <c r="E373">
        <v>6</v>
      </c>
      <c r="F373">
        <v>9</v>
      </c>
      <c r="G373">
        <v>12</v>
      </c>
      <c r="H373" t="s">
        <v>2814</v>
      </c>
      <c r="I37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73" t="s">
        <v>378</v>
      </c>
      <c r="K373" t="str">
        <f>RIGHT(Tabla2[[#This Row],[codigo_producto]],LEN(Tabla2[[#This Row],[codigo_producto]])-FIND("/",Tabla2[[#This Row],[codigo_producto]]))</f>
        <v>KAY02648ZA</v>
      </c>
      <c r="L373" t="str">
        <f>LEFT(Tabla2[[#This Row],[codigo_producto]],FIND("/",Tabla2[[#This Row],[codigo_producto]])-1)</f>
        <v>2</v>
      </c>
      <c r="M37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74" spans="1:13" x14ac:dyDescent="0.25">
      <c r="A374" t="s">
        <v>3194</v>
      </c>
      <c r="B374" t="s">
        <v>1980</v>
      </c>
      <c r="C374" t="s">
        <v>1980</v>
      </c>
      <c r="D374">
        <v>32</v>
      </c>
      <c r="E374">
        <v>6</v>
      </c>
      <c r="F374">
        <v>9</v>
      </c>
      <c r="G374">
        <v>12</v>
      </c>
      <c r="H374" t="s">
        <v>2814</v>
      </c>
      <c r="I37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74" t="s">
        <v>379</v>
      </c>
      <c r="K374" t="str">
        <f>RIGHT(Tabla2[[#This Row],[codigo_producto]],LEN(Tabla2[[#This Row],[codigo_producto]])-FIND("/",Tabla2[[#This Row],[codigo_producto]]))</f>
        <v>KB7W51W50F</v>
      </c>
      <c r="L374" t="str">
        <f>LEFT(Tabla2[[#This Row],[codigo_producto]],FIND("/",Tabla2[[#This Row],[codigo_producto]])-1)</f>
        <v>2</v>
      </c>
      <c r="M37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75" spans="1:13" x14ac:dyDescent="0.25">
      <c r="A375" t="s">
        <v>3195</v>
      </c>
      <c r="B375" t="s">
        <v>1981</v>
      </c>
      <c r="C375" t="s">
        <v>1981</v>
      </c>
      <c r="D375">
        <v>32</v>
      </c>
      <c r="E375">
        <v>6</v>
      </c>
      <c r="F375">
        <v>9</v>
      </c>
      <c r="G375">
        <v>12</v>
      </c>
      <c r="H375" t="s">
        <v>2814</v>
      </c>
      <c r="I37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75" t="s">
        <v>380</v>
      </c>
      <c r="K375" t="str">
        <f>RIGHT(Tabla2[[#This Row],[codigo_producto]],LEN(Tabla2[[#This Row],[codigo_producto]])-FIND("/",Tabla2[[#This Row],[codigo_producto]]))</f>
        <v>KB7W67330B</v>
      </c>
      <c r="L375" t="str">
        <f>LEFT(Tabla2[[#This Row],[codigo_producto]],FIND("/",Tabla2[[#This Row],[codigo_producto]])-1)</f>
        <v>2</v>
      </c>
      <c r="M37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76" spans="1:13" x14ac:dyDescent="0.25">
      <c r="A376" t="s">
        <v>3196</v>
      </c>
      <c r="B376" t="s">
        <v>1976</v>
      </c>
      <c r="C376" t="s">
        <v>1976</v>
      </c>
      <c r="D376">
        <v>32</v>
      </c>
      <c r="E376">
        <v>6</v>
      </c>
      <c r="F376">
        <v>9</v>
      </c>
      <c r="G376">
        <v>12</v>
      </c>
      <c r="H376" t="s">
        <v>2814</v>
      </c>
      <c r="I37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76" t="s">
        <v>381</v>
      </c>
      <c r="K376" t="str">
        <f>RIGHT(Tabla2[[#This Row],[codigo_producto]],LEN(Tabla2[[#This Row],[codigo_producto]])-FIND("/",Tabla2[[#This Row],[codigo_producto]]))</f>
        <v>KD3534350S</v>
      </c>
      <c r="L376" t="str">
        <f>LEFT(Tabla2[[#This Row],[codigo_producto]],FIND("/",Tabla2[[#This Row],[codigo_producto]])-1)</f>
        <v>2</v>
      </c>
      <c r="M37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77" spans="1:13" x14ac:dyDescent="0.25">
      <c r="A377" t="s">
        <v>3197</v>
      </c>
      <c r="B377" t="s">
        <v>1982</v>
      </c>
      <c r="C377" t="s">
        <v>1982</v>
      </c>
      <c r="D377">
        <v>32</v>
      </c>
      <c r="E377">
        <v>6</v>
      </c>
      <c r="F377">
        <v>9</v>
      </c>
      <c r="G377">
        <v>12</v>
      </c>
      <c r="H377" t="s">
        <v>2814</v>
      </c>
      <c r="I37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77" t="s">
        <v>382</v>
      </c>
      <c r="K377" t="str">
        <f>RIGHT(Tabla2[[#This Row],[codigo_producto]],LEN(Tabla2[[#This Row],[codigo_producto]])-FIND("/",Tabla2[[#This Row],[codigo_producto]]))</f>
        <v>KD5350660B</v>
      </c>
      <c r="L377" t="str">
        <f>LEFT(Tabla2[[#This Row],[codigo_producto]],FIND("/",Tabla2[[#This Row],[codigo_producto]])-1)</f>
        <v>2</v>
      </c>
      <c r="M37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78" spans="1:13" x14ac:dyDescent="0.25">
      <c r="A378" t="s">
        <v>3198</v>
      </c>
      <c r="B378" t="s">
        <v>1983</v>
      </c>
      <c r="C378" t="s">
        <v>1983</v>
      </c>
      <c r="D378">
        <v>32</v>
      </c>
      <c r="E378">
        <v>6</v>
      </c>
      <c r="F378">
        <v>9</v>
      </c>
      <c r="G378">
        <v>12</v>
      </c>
      <c r="H378" t="s">
        <v>2814</v>
      </c>
      <c r="I37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78" t="s">
        <v>383</v>
      </c>
      <c r="K378" t="str">
        <f>RIGHT(Tabla2[[#This Row],[codigo_producto]],LEN(Tabla2[[#This Row],[codigo_producto]])-FIND("/",Tabla2[[#This Row],[codigo_producto]]))</f>
        <v>KD5356031A</v>
      </c>
      <c r="L378" t="str">
        <f>LEFT(Tabla2[[#This Row],[codigo_producto]],FIND("/",Tabla2[[#This Row],[codigo_producto]])-1)</f>
        <v>2</v>
      </c>
      <c r="M37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79" spans="1:13" x14ac:dyDescent="0.25">
      <c r="A379" t="s">
        <v>3199</v>
      </c>
      <c r="B379" t="s">
        <v>1984</v>
      </c>
      <c r="C379" t="s">
        <v>1984</v>
      </c>
      <c r="D379">
        <v>32</v>
      </c>
      <c r="E379">
        <v>6</v>
      </c>
      <c r="F379">
        <v>9</v>
      </c>
      <c r="G379">
        <v>12</v>
      </c>
      <c r="H379" t="s">
        <v>2814</v>
      </c>
      <c r="I37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79" t="s">
        <v>384</v>
      </c>
      <c r="K379" t="str">
        <f>RIGHT(Tabla2[[#This Row],[codigo_producto]],LEN(Tabla2[[#This Row],[codigo_producto]])-FIND("/",Tabla2[[#This Row],[codigo_producto]]))</f>
        <v>KD6134156F</v>
      </c>
      <c r="L379" t="str">
        <f>LEFT(Tabla2[[#This Row],[codigo_producto]],FIND("/",Tabla2[[#This Row],[codigo_producto]])-1)</f>
        <v>2</v>
      </c>
      <c r="M37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80" spans="1:13" x14ac:dyDescent="0.25">
      <c r="A380" t="s">
        <v>3200</v>
      </c>
      <c r="B380" t="s">
        <v>1985</v>
      </c>
      <c r="C380" t="s">
        <v>1985</v>
      </c>
      <c r="D380">
        <v>32</v>
      </c>
      <c r="E380">
        <v>6</v>
      </c>
      <c r="F380">
        <v>9</v>
      </c>
      <c r="G380">
        <v>12</v>
      </c>
      <c r="H380" t="s">
        <v>2814</v>
      </c>
      <c r="I38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80" t="s">
        <v>385</v>
      </c>
      <c r="K380" t="str">
        <f>RIGHT(Tabla2[[#This Row],[codigo_producto]],LEN(Tabla2[[#This Row],[codigo_producto]])-FIND("/",Tabla2[[#This Row],[codigo_producto]]))</f>
        <v>KITSEGCX60</v>
      </c>
      <c r="L380" t="str">
        <f>LEFT(Tabla2[[#This Row],[codigo_producto]],FIND("/",Tabla2[[#This Row],[codigo_producto]])-1)</f>
        <v>2</v>
      </c>
      <c r="M38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81" spans="1:13" x14ac:dyDescent="0.25">
      <c r="A381" t="s">
        <v>3201</v>
      </c>
      <c r="B381" t="s">
        <v>1986</v>
      </c>
      <c r="C381" t="s">
        <v>1986</v>
      </c>
      <c r="D381">
        <v>32</v>
      </c>
      <c r="E381">
        <v>6</v>
      </c>
      <c r="F381">
        <v>9</v>
      </c>
      <c r="G381">
        <v>12</v>
      </c>
      <c r="H381" t="s">
        <v>2814</v>
      </c>
      <c r="I38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81" t="s">
        <v>386</v>
      </c>
      <c r="K381" t="str">
        <f>RIGHT(Tabla2[[#This Row],[codigo_producto]],LEN(Tabla2[[#This Row],[codigo_producto]])-FIND("/",Tabla2[[#This Row],[codigo_producto]]))</f>
        <v>KITSEGCX90</v>
      </c>
      <c r="L381" t="str">
        <f>LEFT(Tabla2[[#This Row],[codigo_producto]],FIND("/",Tabla2[[#This Row],[codigo_producto]])-1)</f>
        <v>2</v>
      </c>
      <c r="M38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82" spans="1:13" x14ac:dyDescent="0.25">
      <c r="A382" t="s">
        <v>3202</v>
      </c>
      <c r="B382" t="s">
        <v>1987</v>
      </c>
      <c r="C382" t="s">
        <v>1987</v>
      </c>
      <c r="D382">
        <v>22</v>
      </c>
      <c r="E382">
        <v>6</v>
      </c>
      <c r="F382">
        <v>9</v>
      </c>
      <c r="G382">
        <v>12</v>
      </c>
      <c r="H382" t="s">
        <v>2815</v>
      </c>
      <c r="I38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382" t="s">
        <v>387</v>
      </c>
      <c r="K382" t="str">
        <f>RIGHT(Tabla2[[#This Row],[codigo_producto]],LEN(Tabla2[[#This Row],[codigo_producto]])-FIND("/",Tabla2[[#This Row],[codigo_producto]]))</f>
        <v>KITSEGM3HB</v>
      </c>
      <c r="L382" t="str">
        <f>LEFT(Tabla2[[#This Row],[codigo_producto]],FIND("/",Tabla2[[#This Row],[codigo_producto]])-1)</f>
        <v>2</v>
      </c>
      <c r="M38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83" spans="1:13" x14ac:dyDescent="0.25">
      <c r="A383" t="s">
        <v>3203</v>
      </c>
      <c r="B383" t="s">
        <v>1988</v>
      </c>
      <c r="C383" t="s">
        <v>1988</v>
      </c>
      <c r="D383">
        <v>32</v>
      </c>
      <c r="E383">
        <v>6</v>
      </c>
      <c r="F383">
        <v>9</v>
      </c>
      <c r="G383">
        <v>12</v>
      </c>
      <c r="H383" t="s">
        <v>2814</v>
      </c>
      <c r="I38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83" t="s">
        <v>388</v>
      </c>
      <c r="K383" t="str">
        <f>RIGHT(Tabla2[[#This Row],[codigo_producto]],LEN(Tabla2[[#This Row],[codigo_producto]])-FIND("/",Tabla2[[#This Row],[codigo_producto]]))</f>
        <v>L2Y72648ZA</v>
      </c>
      <c r="L383" t="str">
        <f>LEFT(Tabla2[[#This Row],[codigo_producto]],FIND("/",Tabla2[[#This Row],[codigo_producto]])-1)</f>
        <v>2</v>
      </c>
      <c r="M38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84" spans="1:13" x14ac:dyDescent="0.25">
      <c r="A384" t="s">
        <v>3204</v>
      </c>
      <c r="B384" t="s">
        <v>1989</v>
      </c>
      <c r="C384" t="s">
        <v>1989</v>
      </c>
      <c r="D384">
        <v>32</v>
      </c>
      <c r="E384">
        <v>6</v>
      </c>
      <c r="F384">
        <v>9</v>
      </c>
      <c r="G384">
        <v>12</v>
      </c>
      <c r="H384" t="s">
        <v>2814</v>
      </c>
      <c r="I38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84" t="s">
        <v>389</v>
      </c>
      <c r="K384" t="str">
        <f>RIGHT(Tabla2[[#This Row],[codigo_producto]],LEN(Tabla2[[#This Row],[codigo_producto]])-FIND("/",Tabla2[[#This Row],[codigo_producto]]))</f>
        <v>L2Y82643ZC</v>
      </c>
      <c r="L384" t="str">
        <f>LEFT(Tabla2[[#This Row],[codigo_producto]],FIND("/",Tabla2[[#This Row],[codigo_producto]])-1)</f>
        <v>2</v>
      </c>
      <c r="M38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85" spans="1:13" x14ac:dyDescent="0.25">
      <c r="A385" t="s">
        <v>3205</v>
      </c>
      <c r="B385" t="s">
        <v>1990</v>
      </c>
      <c r="C385" t="s">
        <v>1990</v>
      </c>
      <c r="D385">
        <v>32</v>
      </c>
      <c r="E385">
        <v>6</v>
      </c>
      <c r="F385">
        <v>9</v>
      </c>
      <c r="G385">
        <v>12</v>
      </c>
      <c r="H385" t="s">
        <v>2814</v>
      </c>
      <c r="I38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85" t="s">
        <v>390</v>
      </c>
      <c r="K385" t="str">
        <f>RIGHT(Tabla2[[#This Row],[codigo_producto]],LEN(Tabla2[[#This Row],[codigo_producto]])-FIND("/",Tabla2[[#This Row],[codigo_producto]]))</f>
        <v>LFHH20490A</v>
      </c>
      <c r="L385" t="str">
        <f>LEFT(Tabla2[[#This Row],[codigo_producto]],FIND("/",Tabla2[[#This Row],[codigo_producto]])-1)</f>
        <v>2</v>
      </c>
      <c r="M38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86" spans="1:13" x14ac:dyDescent="0.25">
      <c r="A386" t="s">
        <v>3206</v>
      </c>
      <c r="B386" t="s">
        <v>1991</v>
      </c>
      <c r="C386" t="s">
        <v>1991</v>
      </c>
      <c r="D386">
        <v>32</v>
      </c>
      <c r="E386">
        <v>6</v>
      </c>
      <c r="F386">
        <v>9</v>
      </c>
      <c r="G386">
        <v>12</v>
      </c>
      <c r="H386" t="s">
        <v>2814</v>
      </c>
      <c r="I38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86" t="s">
        <v>391</v>
      </c>
      <c r="K386" t="str">
        <f>RIGHT(Tabla2[[#This Row],[codigo_producto]],LEN(Tabla2[[#This Row],[codigo_producto]])-FIND("/",Tabla2[[#This Row],[codigo_producto]]))</f>
        <v>PAF11518XA</v>
      </c>
      <c r="L386" t="str">
        <f>LEFT(Tabla2[[#This Row],[codigo_producto]],FIND("/",Tabla2[[#This Row],[codigo_producto]])-1)</f>
        <v>2</v>
      </c>
      <c r="M38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87" spans="1:13" x14ac:dyDescent="0.25">
      <c r="A387" t="s">
        <v>3207</v>
      </c>
      <c r="B387" t="s">
        <v>1715</v>
      </c>
      <c r="C387" t="s">
        <v>1715</v>
      </c>
      <c r="D387">
        <v>32</v>
      </c>
      <c r="E387">
        <v>6</v>
      </c>
      <c r="F387">
        <v>9</v>
      </c>
      <c r="G387">
        <v>12</v>
      </c>
      <c r="H387" t="s">
        <v>2814</v>
      </c>
      <c r="I38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87" t="s">
        <v>392</v>
      </c>
      <c r="K387" t="str">
        <f>RIGHT(Tabla2[[#This Row],[codigo_producto]],LEN(Tabla2[[#This Row],[codigo_producto]])-FIND("/",Tabla2[[#This Row],[codigo_producto]]))</f>
        <v>PAH9133A0A</v>
      </c>
      <c r="L387" t="str">
        <f>LEFT(Tabla2[[#This Row],[codigo_producto]],FIND("/",Tabla2[[#This Row],[codigo_producto]])-1)</f>
        <v>2</v>
      </c>
      <c r="M38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88" spans="1:13" x14ac:dyDescent="0.25">
      <c r="A388" t="s">
        <v>3208</v>
      </c>
      <c r="B388" t="s">
        <v>1992</v>
      </c>
      <c r="C388" t="s">
        <v>1992</v>
      </c>
      <c r="D388">
        <v>32</v>
      </c>
      <c r="E388">
        <v>6</v>
      </c>
      <c r="F388">
        <v>9</v>
      </c>
      <c r="G388">
        <v>12</v>
      </c>
      <c r="H388" t="s">
        <v>2814</v>
      </c>
      <c r="I38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88" t="s">
        <v>393</v>
      </c>
      <c r="K388" t="str">
        <f>RIGHT(Tabla2[[#This Row],[codigo_producto]],LEN(Tabla2[[#This Row],[codigo_producto]])-FIND("/",Tabla2[[#This Row],[codigo_producto]]))</f>
        <v>PE0115355B</v>
      </c>
      <c r="L388" t="str">
        <f>LEFT(Tabla2[[#This Row],[codigo_producto]],FIND("/",Tabla2[[#This Row],[codigo_producto]])-1)</f>
        <v>2</v>
      </c>
      <c r="M38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89" spans="1:13" x14ac:dyDescent="0.25">
      <c r="A389" t="s">
        <v>3209</v>
      </c>
      <c r="B389" t="s">
        <v>1993</v>
      </c>
      <c r="C389" t="s">
        <v>1993</v>
      </c>
      <c r="D389">
        <v>32</v>
      </c>
      <c r="E389">
        <v>6</v>
      </c>
      <c r="F389">
        <v>9</v>
      </c>
      <c r="G389">
        <v>12</v>
      </c>
      <c r="H389" t="s">
        <v>2814</v>
      </c>
      <c r="I38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89" t="s">
        <v>394</v>
      </c>
      <c r="K389" t="str">
        <f>RIGHT(Tabla2[[#This Row],[codigo_producto]],LEN(Tabla2[[#This Row],[codigo_producto]])-FIND("/",Tabla2[[#This Row],[codigo_producto]]))</f>
        <v>PE0116410A</v>
      </c>
      <c r="L389" t="str">
        <f>LEFT(Tabla2[[#This Row],[codigo_producto]],FIND("/",Tabla2[[#This Row],[codigo_producto]])-1)</f>
        <v>2</v>
      </c>
      <c r="M38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90" spans="1:13" x14ac:dyDescent="0.25">
      <c r="A390" t="s">
        <v>3210</v>
      </c>
      <c r="B390" t="s">
        <v>1994</v>
      </c>
      <c r="C390" t="s">
        <v>1994</v>
      </c>
      <c r="D390">
        <v>32</v>
      </c>
      <c r="E390">
        <v>6</v>
      </c>
      <c r="F390">
        <v>9</v>
      </c>
      <c r="G390">
        <v>12</v>
      </c>
      <c r="H390" t="s">
        <v>2814</v>
      </c>
      <c r="I39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90" t="s">
        <v>395</v>
      </c>
      <c r="K390" t="str">
        <f>RIGHT(Tabla2[[#This Row],[codigo_producto]],LEN(Tabla2[[#This Row],[codigo_producto]])-FIND("/",Tabla2[[#This Row],[codigo_producto]]))</f>
        <v>PE01188G1A</v>
      </c>
      <c r="L390" t="str">
        <f>LEFT(Tabla2[[#This Row],[codigo_producto]],FIND("/",Tabla2[[#This Row],[codigo_producto]])-1)</f>
        <v>2</v>
      </c>
      <c r="M39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91" spans="1:13" x14ac:dyDescent="0.25">
      <c r="A391" t="s">
        <v>3211</v>
      </c>
      <c r="B391" t="s">
        <v>1995</v>
      </c>
      <c r="C391" t="s">
        <v>1995</v>
      </c>
      <c r="D391">
        <v>32</v>
      </c>
      <c r="E391">
        <v>6</v>
      </c>
      <c r="F391">
        <v>9</v>
      </c>
      <c r="G391">
        <v>12</v>
      </c>
      <c r="H391" t="s">
        <v>2814</v>
      </c>
      <c r="I39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91" t="s">
        <v>396</v>
      </c>
      <c r="K391" t="str">
        <f>RIGHT(Tabla2[[#This Row],[codigo_producto]],LEN(Tabla2[[#This Row],[codigo_producto]])-FIND("/",Tabla2[[#This Row],[codigo_producto]]))</f>
        <v>PE0315980C</v>
      </c>
      <c r="L391" t="str">
        <f>LEFT(Tabla2[[#This Row],[codigo_producto]],FIND("/",Tabla2[[#This Row],[codigo_producto]])-1)</f>
        <v>2</v>
      </c>
      <c r="M39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92" spans="1:13" x14ac:dyDescent="0.25">
      <c r="A392" t="s">
        <v>3212</v>
      </c>
      <c r="B392" t="s">
        <v>1816</v>
      </c>
      <c r="C392" t="s">
        <v>1816</v>
      </c>
      <c r="D392">
        <v>32</v>
      </c>
      <c r="E392">
        <v>6</v>
      </c>
      <c r="F392">
        <v>9</v>
      </c>
      <c r="G392">
        <v>12</v>
      </c>
      <c r="H392" t="s">
        <v>2814</v>
      </c>
      <c r="I39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92" t="s">
        <v>397</v>
      </c>
      <c r="K392" t="str">
        <f>RIGHT(Tabla2[[#This Row],[codigo_producto]],LEN(Tabla2[[#This Row],[codigo_producto]])-FIND("/",Tabla2[[#This Row],[codigo_producto]]))</f>
        <v>PE0815909C</v>
      </c>
      <c r="L392" t="str">
        <f>LEFT(Tabla2[[#This Row],[codigo_producto]],FIND("/",Tabla2[[#This Row],[codigo_producto]])-1)</f>
        <v>2</v>
      </c>
      <c r="M39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93" spans="1:13" x14ac:dyDescent="0.25">
      <c r="A393" t="s">
        <v>3213</v>
      </c>
      <c r="B393" t="s">
        <v>1839</v>
      </c>
      <c r="C393" t="s">
        <v>1839</v>
      </c>
      <c r="D393">
        <v>32</v>
      </c>
      <c r="E393">
        <v>6</v>
      </c>
      <c r="F393">
        <v>9</v>
      </c>
      <c r="G393">
        <v>12</v>
      </c>
      <c r="H393" t="s">
        <v>2814</v>
      </c>
      <c r="I39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93" t="s">
        <v>398</v>
      </c>
      <c r="K393" t="str">
        <f>RIGHT(Tabla2[[#This Row],[codigo_producto]],LEN(Tabla2[[#This Row],[codigo_producto]])-FIND("/",Tabla2[[#This Row],[codigo_producto]]))</f>
        <v>PE5R18110A</v>
      </c>
      <c r="L393" t="str">
        <f>LEFT(Tabla2[[#This Row],[codigo_producto]],FIND("/",Tabla2[[#This Row],[codigo_producto]])-1)</f>
        <v>2</v>
      </c>
      <c r="M39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94" spans="1:13" x14ac:dyDescent="0.25">
      <c r="A394" t="s">
        <v>3214</v>
      </c>
      <c r="B394" t="s">
        <v>1733</v>
      </c>
      <c r="C394" t="s">
        <v>1733</v>
      </c>
      <c r="D394">
        <v>32</v>
      </c>
      <c r="E394">
        <v>6</v>
      </c>
      <c r="F394">
        <v>9</v>
      </c>
      <c r="G394">
        <v>12</v>
      </c>
      <c r="H394" t="s">
        <v>2814</v>
      </c>
      <c r="I39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94" t="s">
        <v>399</v>
      </c>
      <c r="K394" t="str">
        <f>RIGHT(Tabla2[[#This Row],[codigo_producto]],LEN(Tabla2[[#This Row],[codigo_producto]])-FIND("/",Tabla2[[#This Row],[codigo_producto]]))</f>
        <v>SH0114302A</v>
      </c>
      <c r="L394" t="str">
        <f>LEFT(Tabla2[[#This Row],[codigo_producto]],FIND("/",Tabla2[[#This Row],[codigo_producto]])-1)</f>
        <v>2</v>
      </c>
      <c r="M39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95" spans="1:13" x14ac:dyDescent="0.25">
      <c r="A395" t="s">
        <v>3215</v>
      </c>
      <c r="B395" t="s">
        <v>1996</v>
      </c>
      <c r="C395" t="s">
        <v>1996</v>
      </c>
      <c r="D395">
        <v>32</v>
      </c>
      <c r="E395">
        <v>6</v>
      </c>
      <c r="F395">
        <v>9</v>
      </c>
      <c r="G395">
        <v>12</v>
      </c>
      <c r="H395" t="s">
        <v>2814</v>
      </c>
      <c r="I39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95" t="s">
        <v>400</v>
      </c>
      <c r="K395" t="str">
        <f>RIGHT(Tabla2[[#This Row],[codigo_producto]],LEN(Tabla2[[#This Row],[codigo_producto]])-FIND("/",Tabla2[[#This Row],[codigo_producto]]))</f>
        <v>TA0N51041C</v>
      </c>
      <c r="L395" t="str">
        <f>LEFT(Tabla2[[#This Row],[codigo_producto]],FIND("/",Tabla2[[#This Row],[codigo_producto]])-1)</f>
        <v>2</v>
      </c>
      <c r="M39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96" spans="1:13" x14ac:dyDescent="0.25">
      <c r="A396" t="s">
        <v>3216</v>
      </c>
      <c r="B396" t="s">
        <v>1997</v>
      </c>
      <c r="C396" t="s">
        <v>1997</v>
      </c>
      <c r="D396">
        <v>32</v>
      </c>
      <c r="E396">
        <v>6</v>
      </c>
      <c r="F396">
        <v>9</v>
      </c>
      <c r="G396">
        <v>12</v>
      </c>
      <c r="H396" t="s">
        <v>2814</v>
      </c>
      <c r="I39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96" t="s">
        <v>401</v>
      </c>
      <c r="K396" t="str">
        <f>RIGHT(Tabla2[[#This Row],[codigo_producto]],LEN(Tabla2[[#This Row],[codigo_producto]])-FIND("/",Tabla2[[#This Row],[codigo_producto]]))</f>
        <v>TC3M34300A</v>
      </c>
      <c r="L396" t="str">
        <f>LEFT(Tabla2[[#This Row],[codigo_producto]],FIND("/",Tabla2[[#This Row],[codigo_producto]])-1)</f>
        <v>2</v>
      </c>
      <c r="M39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97" spans="1:13" x14ac:dyDescent="0.25">
      <c r="A397" t="s">
        <v>3217</v>
      </c>
      <c r="B397" t="s">
        <v>1998</v>
      </c>
      <c r="C397" t="s">
        <v>1998</v>
      </c>
      <c r="D397">
        <v>32</v>
      </c>
      <c r="E397">
        <v>6</v>
      </c>
      <c r="F397">
        <v>9</v>
      </c>
      <c r="G397">
        <v>12</v>
      </c>
      <c r="H397" t="s">
        <v>2814</v>
      </c>
      <c r="I39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97" t="s">
        <v>402</v>
      </c>
      <c r="K397" t="str">
        <f>RIGHT(Tabla2[[#This Row],[codigo_producto]],LEN(Tabla2[[#This Row],[codigo_producto]])-FIND("/",Tabla2[[#This Row],[codigo_producto]]))</f>
        <v>TC3M34350A</v>
      </c>
      <c r="L397" t="str">
        <f>LEFT(Tabla2[[#This Row],[codigo_producto]],FIND("/",Tabla2[[#This Row],[codigo_producto]])-1)</f>
        <v>2</v>
      </c>
      <c r="M39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98" spans="1:13" x14ac:dyDescent="0.25">
      <c r="A398" t="s">
        <v>3218</v>
      </c>
      <c r="B398" t="s">
        <v>1999</v>
      </c>
      <c r="C398" t="s">
        <v>1999</v>
      </c>
      <c r="D398">
        <v>32</v>
      </c>
      <c r="E398">
        <v>6</v>
      </c>
      <c r="F398">
        <v>9</v>
      </c>
      <c r="G398">
        <v>12</v>
      </c>
      <c r="H398" t="s">
        <v>2814</v>
      </c>
      <c r="I39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98" t="s">
        <v>403</v>
      </c>
      <c r="K398" t="str">
        <f>RIGHT(Tabla2[[#This Row],[codigo_producto]],LEN(Tabla2[[#This Row],[codigo_producto]])-FIND("/",Tabla2[[#This Row],[codigo_producto]]))</f>
        <v>TK7826251A</v>
      </c>
      <c r="L398" t="str">
        <f>LEFT(Tabla2[[#This Row],[codigo_producto]],FIND("/",Tabla2[[#This Row],[codigo_producto]])-1)</f>
        <v>2</v>
      </c>
      <c r="M39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99" spans="1:13" x14ac:dyDescent="0.25">
      <c r="A399" t="s">
        <v>3219</v>
      </c>
      <c r="B399" t="s">
        <v>2000</v>
      </c>
      <c r="C399" t="s">
        <v>2000</v>
      </c>
      <c r="D399">
        <v>32</v>
      </c>
      <c r="E399">
        <v>6</v>
      </c>
      <c r="F399">
        <v>9</v>
      </c>
      <c r="G399">
        <v>12</v>
      </c>
      <c r="H399" t="s">
        <v>2814</v>
      </c>
      <c r="I39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99" t="s">
        <v>404</v>
      </c>
      <c r="K399" t="str">
        <f>RIGHT(Tabla2[[#This Row],[codigo_producto]],LEN(Tabla2[[#This Row],[codigo_producto]])-FIND("/",Tabla2[[#This Row],[codigo_producto]]))</f>
        <v>TK7833251B</v>
      </c>
      <c r="L399" t="str">
        <f>LEFT(Tabla2[[#This Row],[codigo_producto]],FIND("/",Tabla2[[#This Row],[codigo_producto]])-1)</f>
        <v>2</v>
      </c>
      <c r="M39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400" spans="1:13" x14ac:dyDescent="0.25">
      <c r="A400" t="s">
        <v>3220</v>
      </c>
      <c r="B400" t="s">
        <v>1989</v>
      </c>
      <c r="C400" t="s">
        <v>1989</v>
      </c>
      <c r="D400">
        <v>32</v>
      </c>
      <c r="E400">
        <v>6</v>
      </c>
      <c r="F400">
        <v>9</v>
      </c>
      <c r="G400">
        <v>12</v>
      </c>
      <c r="H400" t="s">
        <v>2814</v>
      </c>
      <c r="I40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00" t="s">
        <v>405</v>
      </c>
      <c r="K400" t="str">
        <f>RIGHT(Tabla2[[#This Row],[codigo_producto]],LEN(Tabla2[[#This Row],[codigo_producto]])-FIND("/",Tabla2[[#This Row],[codigo_producto]]))</f>
        <v>TKY82648ZB</v>
      </c>
      <c r="L400" t="str">
        <f>LEFT(Tabla2[[#This Row],[codigo_producto]],FIND("/",Tabla2[[#This Row],[codigo_producto]])-1)</f>
        <v>2</v>
      </c>
      <c r="M40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401" spans="1:13" x14ac:dyDescent="0.25">
      <c r="A401" t="s">
        <v>3221</v>
      </c>
      <c r="B401" t="s">
        <v>2001</v>
      </c>
      <c r="C401" t="s">
        <v>2001</v>
      </c>
      <c r="D401">
        <v>32</v>
      </c>
      <c r="E401">
        <v>6</v>
      </c>
      <c r="F401">
        <v>9</v>
      </c>
      <c r="G401">
        <v>12</v>
      </c>
      <c r="H401" t="s">
        <v>2814</v>
      </c>
      <c r="I40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01" t="s">
        <v>406</v>
      </c>
      <c r="K401" t="str">
        <f>RIGHT(Tabla2[[#This Row],[codigo_producto]],LEN(Tabla2[[#This Row],[codigo_producto]])-FIND("/",Tabla2[[#This Row],[codigo_producto]]))</f>
        <v>TKY83328ZB</v>
      </c>
      <c r="L401" t="str">
        <f>LEFT(Tabla2[[#This Row],[codigo_producto]],FIND("/",Tabla2[[#This Row],[codigo_producto]])-1)</f>
        <v>2</v>
      </c>
      <c r="M40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402" spans="1:13" x14ac:dyDescent="0.25">
      <c r="A402" t="s">
        <v>3222</v>
      </c>
      <c r="B402" t="s">
        <v>2002</v>
      </c>
      <c r="C402" t="s">
        <v>2002</v>
      </c>
      <c r="D402">
        <v>32</v>
      </c>
      <c r="E402">
        <v>6</v>
      </c>
      <c r="F402">
        <v>9</v>
      </c>
      <c r="G402">
        <v>12</v>
      </c>
      <c r="H402" t="s">
        <v>2814</v>
      </c>
      <c r="I40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02" t="s">
        <v>407</v>
      </c>
      <c r="K402" t="str">
        <f>RIGHT(Tabla2[[#This Row],[codigo_producto]],LEN(Tabla2[[#This Row],[codigo_producto]])-FIND("/",Tabla2[[#This Row],[codigo_producto]]))</f>
        <v>TN3967Z32A</v>
      </c>
      <c r="L402" t="str">
        <f>LEFT(Tabla2[[#This Row],[codigo_producto]],FIND("/",Tabla2[[#This Row],[codigo_producto]])-1)</f>
        <v>2</v>
      </c>
      <c r="M40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403" spans="1:13" x14ac:dyDescent="0.25">
      <c r="A403" t="s">
        <v>3223</v>
      </c>
      <c r="B403" t="s">
        <v>1715</v>
      </c>
      <c r="C403" t="s">
        <v>1715</v>
      </c>
      <c r="D403">
        <v>32</v>
      </c>
      <c r="E403">
        <v>6</v>
      </c>
      <c r="F403">
        <v>9</v>
      </c>
      <c r="G403">
        <v>12</v>
      </c>
      <c r="H403" t="s">
        <v>2814</v>
      </c>
      <c r="I40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03" t="s">
        <v>408</v>
      </c>
      <c r="K403" t="str">
        <f>RIGHT(Tabla2[[#This Row],[codigo_producto]],LEN(Tabla2[[#This Row],[codigo_producto]])-FIND("/",Tabla2[[#This Row],[codigo_producto]]))</f>
        <v>U2Y013Z40A</v>
      </c>
      <c r="L403" t="str">
        <f>LEFT(Tabla2[[#This Row],[codigo_producto]],FIND("/",Tabla2[[#This Row],[codigo_producto]])-1)</f>
        <v>2</v>
      </c>
      <c r="M40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404" spans="1:13" x14ac:dyDescent="0.25">
      <c r="A404" t="s">
        <v>3224</v>
      </c>
      <c r="B404" t="s">
        <v>2003</v>
      </c>
      <c r="C404" t="s">
        <v>2003</v>
      </c>
      <c r="D404">
        <v>32</v>
      </c>
      <c r="E404">
        <v>6</v>
      </c>
      <c r="F404">
        <v>9</v>
      </c>
      <c r="G404">
        <v>12</v>
      </c>
      <c r="H404" t="s">
        <v>2814</v>
      </c>
      <c r="I40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04" t="s">
        <v>409</v>
      </c>
      <c r="K404" t="str">
        <f>RIGHT(Tabla2[[#This Row],[codigo_producto]],LEN(Tabla2[[#This Row],[codigo_producto]])-FIND("/",Tabla2[[#This Row],[codigo_producto]]))</f>
        <v>UC2B33251B</v>
      </c>
      <c r="L404" t="str">
        <f>LEFT(Tabla2[[#This Row],[codigo_producto]],FIND("/",Tabla2[[#This Row],[codigo_producto]])-1)</f>
        <v>2</v>
      </c>
      <c r="M40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405" spans="1:13" x14ac:dyDescent="0.25">
      <c r="A405" t="s">
        <v>3225</v>
      </c>
      <c r="B405" t="s">
        <v>2004</v>
      </c>
      <c r="C405" t="s">
        <v>2004</v>
      </c>
      <c r="D405">
        <v>32</v>
      </c>
      <c r="E405">
        <v>6</v>
      </c>
      <c r="F405">
        <v>9</v>
      </c>
      <c r="G405">
        <v>12</v>
      </c>
      <c r="H405" t="s">
        <v>2814</v>
      </c>
      <c r="I40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05" t="s">
        <v>410</v>
      </c>
      <c r="K405" t="str">
        <f>RIGHT(Tabla2[[#This Row],[codigo_producto]],LEN(Tabla2[[#This Row],[codigo_producto]])-FIND("/",Tabla2[[#This Row],[codigo_producto]]))</f>
        <v>UC2B513F0A</v>
      </c>
      <c r="L405" t="str">
        <f>LEFT(Tabla2[[#This Row],[codigo_producto]],FIND("/",Tabla2[[#This Row],[codigo_producto]])-1)</f>
        <v>2</v>
      </c>
      <c r="M40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406" spans="1:13" x14ac:dyDescent="0.25">
      <c r="A406" t="s">
        <v>3226</v>
      </c>
      <c r="B406" t="s">
        <v>2005</v>
      </c>
      <c r="C406" t="s">
        <v>2005</v>
      </c>
      <c r="D406">
        <v>32</v>
      </c>
      <c r="E406">
        <v>6</v>
      </c>
      <c r="F406">
        <v>9</v>
      </c>
      <c r="G406">
        <v>12</v>
      </c>
      <c r="H406" t="s">
        <v>2814</v>
      </c>
      <c r="I40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06" t="s">
        <v>411</v>
      </c>
      <c r="K406" t="str">
        <f>RIGHT(Tabla2[[#This Row],[codigo_producto]],LEN(Tabla2[[#This Row],[codigo_producto]])-FIND("/",Tabla2[[#This Row],[codigo_producto]]))</f>
        <v>UC2H66223A</v>
      </c>
      <c r="L406" t="str">
        <f>LEFT(Tabla2[[#This Row],[codigo_producto]],FIND("/",Tabla2[[#This Row],[codigo_producto]])-1)</f>
        <v>2</v>
      </c>
      <c r="M40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407" spans="1:13" x14ac:dyDescent="0.25">
      <c r="A407" t="s">
        <v>3227</v>
      </c>
      <c r="B407" t="s">
        <v>2006</v>
      </c>
      <c r="C407" t="s">
        <v>2006</v>
      </c>
      <c r="D407">
        <v>32</v>
      </c>
      <c r="E407">
        <v>6</v>
      </c>
      <c r="F407">
        <v>9</v>
      </c>
      <c r="G407">
        <v>12</v>
      </c>
      <c r="H407" t="s">
        <v>2814</v>
      </c>
      <c r="I40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07" t="s">
        <v>412</v>
      </c>
      <c r="K407" t="str">
        <f>RIGHT(Tabla2[[#This Row],[codigo_producto]],LEN(Tabla2[[#This Row],[codigo_producto]])-FIND("/",Tabla2[[#This Row],[codigo_producto]]))</f>
        <v>UC2L6635YB</v>
      </c>
      <c r="L407" t="str">
        <f>LEFT(Tabla2[[#This Row],[codigo_producto]],FIND("/",Tabla2[[#This Row],[codigo_producto]])-1)</f>
        <v>2</v>
      </c>
      <c r="M40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408" spans="1:13" x14ac:dyDescent="0.25">
      <c r="A408" t="s">
        <v>3228</v>
      </c>
      <c r="B408" t="s">
        <v>2007</v>
      </c>
      <c r="C408" t="s">
        <v>2007</v>
      </c>
      <c r="D408">
        <v>32</v>
      </c>
      <c r="E408">
        <v>6</v>
      </c>
      <c r="F408">
        <v>9</v>
      </c>
      <c r="G408">
        <v>12</v>
      </c>
      <c r="H408" t="s">
        <v>2814</v>
      </c>
      <c r="I40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08" t="s">
        <v>413</v>
      </c>
      <c r="K408" t="str">
        <f>RIGHT(Tabla2[[#This Row],[codigo_producto]],LEN(Tabla2[[#This Row],[codigo_producto]])-FIND("/",Tabla2[[#This Row],[codigo_producto]]))</f>
        <v>UC2R34110B</v>
      </c>
      <c r="L408" t="str">
        <f>LEFT(Tabla2[[#This Row],[codigo_producto]],FIND("/",Tabla2[[#This Row],[codigo_producto]])-1)</f>
        <v>2</v>
      </c>
      <c r="M40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409" spans="1:13" x14ac:dyDescent="0.25">
      <c r="A409" t="s">
        <v>3229</v>
      </c>
      <c r="B409" t="s">
        <v>2008</v>
      </c>
      <c r="C409" t="s">
        <v>2008</v>
      </c>
      <c r="D409">
        <v>32</v>
      </c>
      <c r="E409">
        <v>6</v>
      </c>
      <c r="F409">
        <v>9</v>
      </c>
      <c r="G409">
        <v>12</v>
      </c>
      <c r="H409" t="s">
        <v>2814</v>
      </c>
      <c r="I40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09" t="s">
        <v>414</v>
      </c>
      <c r="K409" t="str">
        <f>RIGHT(Tabla2[[#This Row],[codigo_producto]],LEN(Tabla2[[#This Row],[codigo_producto]])-FIND("/",Tabla2[[#This Row],[codigo_producto]]))</f>
        <v>UH0116490A</v>
      </c>
      <c r="L409" t="str">
        <f>LEFT(Tabla2[[#This Row],[codigo_producto]],FIND("/",Tabla2[[#This Row],[codigo_producto]])-1)</f>
        <v>2</v>
      </c>
      <c r="M40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410" spans="1:13" x14ac:dyDescent="0.25">
      <c r="A410" t="s">
        <v>3230</v>
      </c>
      <c r="B410" t="s">
        <v>2009</v>
      </c>
      <c r="C410" t="s">
        <v>2009</v>
      </c>
      <c r="D410">
        <v>32</v>
      </c>
      <c r="E410">
        <v>6</v>
      </c>
      <c r="F410">
        <v>9</v>
      </c>
      <c r="G410">
        <v>12</v>
      </c>
      <c r="H410" t="s">
        <v>2814</v>
      </c>
      <c r="I41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10" t="s">
        <v>415</v>
      </c>
      <c r="K410" t="str">
        <f>RIGHT(Tabla2[[#This Row],[codigo_producto]],LEN(Tabla2[[#This Row],[codigo_producto]])-FIND("/",Tabla2[[#This Row],[codigo_producto]]))</f>
        <v>UH7426251C</v>
      </c>
      <c r="L410" t="str">
        <f>LEFT(Tabla2[[#This Row],[codigo_producto]],FIND("/",Tabla2[[#This Row],[codigo_producto]])-1)</f>
        <v>2</v>
      </c>
      <c r="M41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411" spans="1:13" x14ac:dyDescent="0.25">
      <c r="A411" t="s">
        <v>3231</v>
      </c>
      <c r="B411" t="s">
        <v>2010</v>
      </c>
      <c r="C411" t="s">
        <v>2010</v>
      </c>
      <c r="D411">
        <v>32</v>
      </c>
      <c r="E411">
        <v>6</v>
      </c>
      <c r="F411">
        <v>9</v>
      </c>
      <c r="G411">
        <v>12</v>
      </c>
      <c r="H411" t="s">
        <v>2814</v>
      </c>
      <c r="I41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11" t="s">
        <v>416</v>
      </c>
      <c r="K411" t="str">
        <f>RIGHT(Tabla2[[#This Row],[codigo_producto]],LEN(Tabla2[[#This Row],[codigo_producto]])-FIND("/",Tabla2[[#This Row],[codigo_producto]]))</f>
        <v>UR5658310C</v>
      </c>
      <c r="L411" t="str">
        <f>LEFT(Tabla2[[#This Row],[codigo_producto]],FIND("/",Tabla2[[#This Row],[codigo_producto]])-1)</f>
        <v>2</v>
      </c>
      <c r="M41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412" spans="1:13" x14ac:dyDescent="0.25">
      <c r="A412" t="s">
        <v>3232</v>
      </c>
      <c r="B412" t="s">
        <v>2011</v>
      </c>
      <c r="C412" t="s">
        <v>2011</v>
      </c>
      <c r="D412">
        <v>32</v>
      </c>
      <c r="E412">
        <v>6</v>
      </c>
      <c r="F412">
        <v>9</v>
      </c>
      <c r="G412">
        <v>12</v>
      </c>
      <c r="H412" t="s">
        <v>2814</v>
      </c>
      <c r="I41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12" t="s">
        <v>417</v>
      </c>
      <c r="K412" t="str">
        <f>RIGHT(Tabla2[[#This Row],[codigo_producto]],LEN(Tabla2[[#This Row],[codigo_producto]])-FIND("/",Tabla2[[#This Row],[codigo_producto]]))</f>
        <v>UR5665710B</v>
      </c>
      <c r="L412" t="str">
        <f>LEFT(Tabla2[[#This Row],[codigo_producto]],FIND("/",Tabla2[[#This Row],[codigo_producto]])-1)</f>
        <v>2</v>
      </c>
      <c r="M41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413" spans="1:13" x14ac:dyDescent="0.25">
      <c r="A413" t="s">
        <v>3233</v>
      </c>
      <c r="B413" t="s">
        <v>2012</v>
      </c>
      <c r="C413" t="s">
        <v>2012</v>
      </c>
      <c r="D413">
        <v>32</v>
      </c>
      <c r="E413">
        <v>6</v>
      </c>
      <c r="F413">
        <v>9</v>
      </c>
      <c r="G413">
        <v>12</v>
      </c>
      <c r="H413" t="s">
        <v>2814</v>
      </c>
      <c r="I41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13" t="s">
        <v>418</v>
      </c>
      <c r="K413" t="str">
        <f>RIGHT(Tabla2[[#This Row],[codigo_producto]],LEN(Tabla2[[#This Row],[codigo_producto]])-FIND("/",Tabla2[[#This Row],[codigo_producto]]))</f>
        <v>UR5665720B</v>
      </c>
      <c r="L413" t="str">
        <f>LEFT(Tabla2[[#This Row],[codigo_producto]],FIND("/",Tabla2[[#This Row],[codigo_producto]])-1)</f>
        <v>2</v>
      </c>
      <c r="M41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414" spans="1:13" x14ac:dyDescent="0.25">
      <c r="A414" t="s">
        <v>3234</v>
      </c>
      <c r="B414" t="s">
        <v>2013</v>
      </c>
      <c r="C414" t="s">
        <v>2013</v>
      </c>
      <c r="D414">
        <v>32</v>
      </c>
      <c r="E414">
        <v>6</v>
      </c>
      <c r="F414">
        <v>9</v>
      </c>
      <c r="G414">
        <v>12</v>
      </c>
      <c r="H414" t="s">
        <v>2814</v>
      </c>
      <c r="I41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14" t="s">
        <v>419</v>
      </c>
      <c r="K414" t="str">
        <f>RIGHT(Tabla2[[#This Row],[codigo_producto]],LEN(Tabla2[[#This Row],[codigo_producto]])-FIND("/",Tabla2[[#This Row],[codigo_producto]]))</f>
        <v>UR6372560A</v>
      </c>
      <c r="L414" t="str">
        <f>LEFT(Tabla2[[#This Row],[codigo_producto]],FIND("/",Tabla2[[#This Row],[codigo_producto]])-1)</f>
        <v>2</v>
      </c>
      <c r="M41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415" spans="1:13" x14ac:dyDescent="0.25">
      <c r="A415" t="s">
        <v>3235</v>
      </c>
      <c r="B415" t="s">
        <v>2014</v>
      </c>
      <c r="C415" t="s">
        <v>2014</v>
      </c>
      <c r="D415">
        <v>32</v>
      </c>
      <c r="E415">
        <v>6</v>
      </c>
      <c r="F415">
        <v>9</v>
      </c>
      <c r="G415">
        <v>12</v>
      </c>
      <c r="H415" t="s">
        <v>2814</v>
      </c>
      <c r="I41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15" t="s">
        <v>420</v>
      </c>
      <c r="K415" t="str">
        <f>RIGHT(Tabla2[[#This Row],[codigo_producto]],LEN(Tabla2[[#This Row],[codigo_producto]])-FIND("/",Tabla2[[#This Row],[codigo_producto]]))</f>
        <v>UR6373310B</v>
      </c>
      <c r="L415" t="str">
        <f>LEFT(Tabla2[[#This Row],[codigo_producto]],FIND("/",Tabla2[[#This Row],[codigo_producto]])-1)</f>
        <v>2</v>
      </c>
      <c r="M41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416" spans="1:13" x14ac:dyDescent="0.25">
      <c r="A416" t="s">
        <v>3236</v>
      </c>
      <c r="B416" t="s">
        <v>2015</v>
      </c>
      <c r="C416" t="s">
        <v>2015</v>
      </c>
      <c r="D416">
        <v>32</v>
      </c>
      <c r="E416">
        <v>7</v>
      </c>
      <c r="F416">
        <v>9</v>
      </c>
      <c r="G416">
        <v>12</v>
      </c>
      <c r="H416" t="s">
        <v>2814</v>
      </c>
      <c r="I41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16" t="s">
        <v>421</v>
      </c>
      <c r="K416" t="str">
        <f>RIGHT(Tabla2[[#This Row],[codigo_producto]],LEN(Tabla2[[#This Row],[codigo_producto]])-FIND("/",Tabla2[[#This Row],[codigo_producto]]))</f>
        <v>01125N8061</v>
      </c>
      <c r="L416" t="str">
        <f>LEFT(Tabla2[[#This Row],[codigo_producto]],FIND("/",Tabla2[[#This Row],[codigo_producto]])-1)</f>
        <v>3</v>
      </c>
      <c r="M41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17" spans="1:13" x14ac:dyDescent="0.25">
      <c r="A417" t="s">
        <v>3237</v>
      </c>
      <c r="B417" t="s">
        <v>2016</v>
      </c>
      <c r="C417" t="s">
        <v>2016</v>
      </c>
      <c r="D417">
        <v>32</v>
      </c>
      <c r="E417">
        <v>7</v>
      </c>
      <c r="F417">
        <v>9</v>
      </c>
      <c r="G417">
        <v>12</v>
      </c>
      <c r="H417" t="s">
        <v>2814</v>
      </c>
      <c r="I41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17" t="s">
        <v>422</v>
      </c>
      <c r="K417" t="str">
        <f>RIGHT(Tabla2[[#This Row],[codigo_producto]],LEN(Tabla2[[#This Row],[codigo_producto]])-FIND("/",Tabla2[[#This Row],[codigo_producto]]))</f>
        <v>101013014R</v>
      </c>
      <c r="L417" t="str">
        <f>LEFT(Tabla2[[#This Row],[codigo_producto]],FIND("/",Tabla2[[#This Row],[codigo_producto]])-1)</f>
        <v>3</v>
      </c>
      <c r="M41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18" spans="1:13" x14ac:dyDescent="0.25">
      <c r="A418" t="s">
        <v>3238</v>
      </c>
      <c r="B418" t="s">
        <v>1793</v>
      </c>
      <c r="C418" t="s">
        <v>1793</v>
      </c>
      <c r="D418">
        <v>32</v>
      </c>
      <c r="E418">
        <v>7</v>
      </c>
      <c r="F418">
        <v>9</v>
      </c>
      <c r="G418">
        <v>12</v>
      </c>
      <c r="H418" t="s">
        <v>2814</v>
      </c>
      <c r="I41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18" t="s">
        <v>423</v>
      </c>
      <c r="K418" t="str">
        <f>RIGHT(Tabla2[[#This Row],[codigo_producto]],LEN(Tabla2[[#This Row],[codigo_producto]])-FIND("/",Tabla2[[#This Row],[codigo_producto]]))</f>
        <v>1102601M02</v>
      </c>
      <c r="L418" t="str">
        <f>LEFT(Tabla2[[#This Row],[codigo_producto]],FIND("/",Tabla2[[#This Row],[codigo_producto]])-1)</f>
        <v>3</v>
      </c>
      <c r="M41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19" spans="1:13" x14ac:dyDescent="0.25">
      <c r="A419" t="s">
        <v>3239</v>
      </c>
      <c r="B419" t="s">
        <v>1793</v>
      </c>
      <c r="C419" t="s">
        <v>1793</v>
      </c>
      <c r="D419">
        <v>32</v>
      </c>
      <c r="E419">
        <v>7</v>
      </c>
      <c r="F419">
        <v>9</v>
      </c>
      <c r="G419">
        <v>12</v>
      </c>
      <c r="H419" t="s">
        <v>2814</v>
      </c>
      <c r="I41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19" t="s">
        <v>424</v>
      </c>
      <c r="K419" t="str">
        <f>RIGHT(Tabla2[[#This Row],[codigo_producto]],LEN(Tabla2[[#This Row],[codigo_producto]])-FIND("/",Tabla2[[#This Row],[codigo_producto]]))</f>
        <v>110265505R</v>
      </c>
      <c r="L419" t="str">
        <f>LEFT(Tabla2[[#This Row],[codigo_producto]],FIND("/",Tabla2[[#This Row],[codigo_producto]])-1)</f>
        <v>3</v>
      </c>
      <c r="M41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20" spans="1:13" x14ac:dyDescent="0.25">
      <c r="A420" t="s">
        <v>3240</v>
      </c>
      <c r="B420" t="s">
        <v>2017</v>
      </c>
      <c r="C420" t="s">
        <v>2017</v>
      </c>
      <c r="D420">
        <v>32</v>
      </c>
      <c r="E420">
        <v>7</v>
      </c>
      <c r="F420">
        <v>9</v>
      </c>
      <c r="G420">
        <v>12</v>
      </c>
      <c r="H420" t="s">
        <v>2814</v>
      </c>
      <c r="I42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20" t="s">
        <v>425</v>
      </c>
      <c r="K420" t="str">
        <f>RIGHT(Tabla2[[#This Row],[codigo_producto]],LEN(Tabla2[[#This Row],[codigo_producto]])-FIND("/",Tabla2[[#This Row],[codigo_producto]]))</f>
        <v>117201773R</v>
      </c>
      <c r="L420" t="str">
        <f>LEFT(Tabla2[[#This Row],[codigo_producto]],FIND("/",Tabla2[[#This Row],[codigo_producto]])-1)</f>
        <v>3</v>
      </c>
      <c r="M42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21" spans="1:13" x14ac:dyDescent="0.25">
      <c r="A421" t="s">
        <v>3241</v>
      </c>
      <c r="B421" t="s">
        <v>1822</v>
      </c>
      <c r="C421" t="s">
        <v>1822</v>
      </c>
      <c r="D421">
        <v>32</v>
      </c>
      <c r="E421">
        <v>7</v>
      </c>
      <c r="F421">
        <v>9</v>
      </c>
      <c r="G421">
        <v>12</v>
      </c>
      <c r="H421" t="s">
        <v>2814</v>
      </c>
      <c r="I42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21" t="s">
        <v>426</v>
      </c>
      <c r="K421" t="str">
        <f>RIGHT(Tabla2[[#This Row],[codigo_producto]],LEN(Tabla2[[#This Row],[codigo_producto]])-FIND("/",Tabla2[[#This Row],[codigo_producto]]))</f>
        <v>117205123R</v>
      </c>
      <c r="L421" t="str">
        <f>LEFT(Tabla2[[#This Row],[codigo_producto]],FIND("/",Tabla2[[#This Row],[codigo_producto]])-1)</f>
        <v>3</v>
      </c>
      <c r="M42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22" spans="1:13" x14ac:dyDescent="0.25">
      <c r="A422" t="s">
        <v>3242</v>
      </c>
      <c r="B422" t="s">
        <v>1816</v>
      </c>
      <c r="C422" t="s">
        <v>1816</v>
      </c>
      <c r="D422">
        <v>32</v>
      </c>
      <c r="E422">
        <v>7</v>
      </c>
      <c r="F422">
        <v>9</v>
      </c>
      <c r="G422">
        <v>12</v>
      </c>
      <c r="H422" t="s">
        <v>2814</v>
      </c>
      <c r="I42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22" t="s">
        <v>427</v>
      </c>
      <c r="K422" t="str">
        <f>RIGHT(Tabla2[[#This Row],[codigo_producto]],LEN(Tabla2[[#This Row],[codigo_producto]])-FIND("/",Tabla2[[#This Row],[codigo_producto]]))</f>
        <v>117205678R</v>
      </c>
      <c r="L422" t="str">
        <f>LEFT(Tabla2[[#This Row],[codigo_producto]],FIND("/",Tabla2[[#This Row],[codigo_producto]])-1)</f>
        <v>3</v>
      </c>
      <c r="M42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23" spans="1:13" x14ac:dyDescent="0.25">
      <c r="A423" t="s">
        <v>3243</v>
      </c>
      <c r="B423" t="s">
        <v>2018</v>
      </c>
      <c r="C423" t="s">
        <v>2018</v>
      </c>
      <c r="D423">
        <v>32</v>
      </c>
      <c r="E423">
        <v>7</v>
      </c>
      <c r="F423">
        <v>9</v>
      </c>
      <c r="G423">
        <v>12</v>
      </c>
      <c r="H423" t="s">
        <v>2814</v>
      </c>
      <c r="I42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23" t="s">
        <v>428</v>
      </c>
      <c r="K423" t="str">
        <f>RIGHT(Tabla2[[#This Row],[codigo_producto]],LEN(Tabla2[[#This Row],[codigo_producto]])-FIND("/",Tabla2[[#This Row],[codigo_producto]]))</f>
        <v>117206746R</v>
      </c>
      <c r="L423" t="str">
        <f>LEFT(Tabla2[[#This Row],[codigo_producto]],FIND("/",Tabla2[[#This Row],[codigo_producto]])-1)</f>
        <v>3</v>
      </c>
      <c r="M42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24" spans="1:13" x14ac:dyDescent="0.25">
      <c r="A424" t="s">
        <v>3244</v>
      </c>
      <c r="B424" t="s">
        <v>1822</v>
      </c>
      <c r="C424" t="s">
        <v>1822</v>
      </c>
      <c r="D424">
        <v>32</v>
      </c>
      <c r="E424">
        <v>7</v>
      </c>
      <c r="F424">
        <v>9</v>
      </c>
      <c r="G424">
        <v>12</v>
      </c>
      <c r="H424" t="s">
        <v>2814</v>
      </c>
      <c r="I42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24" t="s">
        <v>429</v>
      </c>
      <c r="K424" t="str">
        <f>RIGHT(Tabla2[[#This Row],[codigo_producto]],LEN(Tabla2[[#This Row],[codigo_producto]])-FIND("/",Tabla2[[#This Row],[codigo_producto]]))</f>
        <v>117208023R</v>
      </c>
      <c r="L424" t="str">
        <f>LEFT(Tabla2[[#This Row],[codigo_producto]],FIND("/",Tabla2[[#This Row],[codigo_producto]])-1)</f>
        <v>3</v>
      </c>
      <c r="M42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25" spans="1:13" x14ac:dyDescent="0.25">
      <c r="A425" t="s">
        <v>3245</v>
      </c>
      <c r="B425" t="s">
        <v>2019</v>
      </c>
      <c r="C425" t="s">
        <v>2019</v>
      </c>
      <c r="D425">
        <v>32</v>
      </c>
      <c r="E425">
        <v>7</v>
      </c>
      <c r="F425">
        <v>9</v>
      </c>
      <c r="G425">
        <v>12</v>
      </c>
      <c r="H425" t="s">
        <v>2814</v>
      </c>
      <c r="I42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25" t="s">
        <v>430</v>
      </c>
      <c r="K425" t="str">
        <f>RIGHT(Tabla2[[#This Row],[codigo_producto]],LEN(Tabla2[[#This Row],[codigo_producto]])-FIND("/",Tabla2[[#This Row],[codigo_producto]]))</f>
        <v>117209708R</v>
      </c>
      <c r="L425" t="str">
        <f>LEFT(Tabla2[[#This Row],[codigo_producto]],FIND("/",Tabla2[[#This Row],[codigo_producto]])-1)</f>
        <v>3</v>
      </c>
      <c r="M42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26" spans="1:13" x14ac:dyDescent="0.25">
      <c r="A426" t="s">
        <v>3246</v>
      </c>
      <c r="B426" t="s">
        <v>2020</v>
      </c>
      <c r="C426" t="s">
        <v>2020</v>
      </c>
      <c r="D426">
        <v>32</v>
      </c>
      <c r="E426">
        <v>7</v>
      </c>
      <c r="F426">
        <v>9</v>
      </c>
      <c r="G426">
        <v>12</v>
      </c>
      <c r="H426" t="s">
        <v>2814</v>
      </c>
      <c r="I42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26" t="s">
        <v>431</v>
      </c>
      <c r="K426" t="str">
        <f>RIGHT(Tabla2[[#This Row],[codigo_producto]],LEN(Tabla2[[#This Row],[codigo_producto]])-FIND("/",Tabla2[[#This Row],[codigo_producto]]))</f>
        <v>117209732R</v>
      </c>
      <c r="L426" t="str">
        <f>LEFT(Tabla2[[#This Row],[codigo_producto]],FIND("/",Tabla2[[#This Row],[codigo_producto]])-1)</f>
        <v>3</v>
      </c>
      <c r="M42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27" spans="1:13" x14ac:dyDescent="0.25">
      <c r="A427" t="s">
        <v>3247</v>
      </c>
      <c r="B427" t="s">
        <v>2021</v>
      </c>
      <c r="C427" t="s">
        <v>2021</v>
      </c>
      <c r="D427">
        <v>32</v>
      </c>
      <c r="E427">
        <v>7</v>
      </c>
      <c r="F427">
        <v>9</v>
      </c>
      <c r="G427">
        <v>12</v>
      </c>
      <c r="H427" t="s">
        <v>2814</v>
      </c>
      <c r="I42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27" t="s">
        <v>432</v>
      </c>
      <c r="K427" t="str">
        <f>RIGHT(Tabla2[[#This Row],[codigo_producto]],LEN(Tabla2[[#This Row],[codigo_producto]])-FIND("/",Tabla2[[#This Row],[codigo_producto]]))</f>
        <v>118105H71A</v>
      </c>
      <c r="L427" t="str">
        <f>LEFT(Tabla2[[#This Row],[codigo_producto]],FIND("/",Tabla2[[#This Row],[codigo_producto]])-1)</f>
        <v>3</v>
      </c>
      <c r="M42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28" spans="1:13" x14ac:dyDescent="0.25">
      <c r="A428" t="s">
        <v>3248</v>
      </c>
      <c r="B428" t="s">
        <v>2022</v>
      </c>
      <c r="C428" t="s">
        <v>2022</v>
      </c>
      <c r="D428">
        <v>32</v>
      </c>
      <c r="E428">
        <v>7</v>
      </c>
      <c r="F428">
        <v>9</v>
      </c>
      <c r="G428">
        <v>12</v>
      </c>
      <c r="H428" t="s">
        <v>2814</v>
      </c>
      <c r="I42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28" t="s">
        <v>433</v>
      </c>
      <c r="K428" t="str">
        <f>RIGHT(Tabla2[[#This Row],[codigo_producto]],LEN(Tabla2[[#This Row],[codigo_producto]])-FIND("/",Tabla2[[#This Row],[codigo_producto]]))</f>
        <v>119203960R</v>
      </c>
      <c r="L428" t="str">
        <f>LEFT(Tabla2[[#This Row],[codigo_producto]],FIND("/",Tabla2[[#This Row],[codigo_producto]])-1)</f>
        <v>3</v>
      </c>
      <c r="M42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29" spans="1:13" x14ac:dyDescent="0.25">
      <c r="A429" t="s">
        <v>3249</v>
      </c>
      <c r="B429" t="s">
        <v>2023</v>
      </c>
      <c r="C429" t="s">
        <v>2023</v>
      </c>
      <c r="D429">
        <v>32</v>
      </c>
      <c r="E429">
        <v>7</v>
      </c>
      <c r="F429">
        <v>9</v>
      </c>
      <c r="G429">
        <v>12</v>
      </c>
      <c r="H429" t="s">
        <v>2814</v>
      </c>
      <c r="I42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29" t="s">
        <v>434</v>
      </c>
      <c r="K429" t="str">
        <f>RIGHT(Tabla2[[#This Row],[codigo_producto]],LEN(Tabla2[[#This Row],[codigo_producto]])-FIND("/",Tabla2[[#This Row],[codigo_producto]]))</f>
        <v>130C11551R</v>
      </c>
      <c r="L429" t="str">
        <f>LEFT(Tabla2[[#This Row],[codigo_producto]],FIND("/",Tabla2[[#This Row],[codigo_producto]])-1)</f>
        <v>3</v>
      </c>
      <c r="M42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30" spans="1:13" x14ac:dyDescent="0.25">
      <c r="A430" t="s">
        <v>3250</v>
      </c>
      <c r="B430" t="s">
        <v>2024</v>
      </c>
      <c r="C430" t="s">
        <v>2024</v>
      </c>
      <c r="D430">
        <v>32</v>
      </c>
      <c r="E430">
        <v>7</v>
      </c>
      <c r="F430">
        <v>9</v>
      </c>
      <c r="G430">
        <v>12</v>
      </c>
      <c r="H430" t="s">
        <v>2814</v>
      </c>
      <c r="I43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30" t="s">
        <v>435</v>
      </c>
      <c r="K430" t="str">
        <f>RIGHT(Tabla2[[#This Row],[codigo_producto]],LEN(Tabla2[[#This Row],[codigo_producto]])-FIND("/",Tabla2[[#This Row],[codigo_producto]]))</f>
        <v>130C13538R</v>
      </c>
      <c r="L430" t="str">
        <f>LEFT(Tabla2[[#This Row],[codigo_producto]],FIND("/",Tabla2[[#This Row],[codigo_producto]])-1)</f>
        <v>3</v>
      </c>
      <c r="M43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31" spans="1:13" x14ac:dyDescent="0.25">
      <c r="A431" t="s">
        <v>3251</v>
      </c>
      <c r="B431" t="s">
        <v>2025</v>
      </c>
      <c r="C431" t="s">
        <v>2025</v>
      </c>
      <c r="D431">
        <v>32</v>
      </c>
      <c r="E431">
        <v>7</v>
      </c>
      <c r="F431">
        <v>9</v>
      </c>
      <c r="G431">
        <v>12</v>
      </c>
      <c r="H431" t="s">
        <v>2814</v>
      </c>
      <c r="I43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31" t="s">
        <v>436</v>
      </c>
      <c r="K431" t="str">
        <f>RIGHT(Tabla2[[#This Row],[codigo_producto]],LEN(Tabla2[[#This Row],[codigo_producto]])-FIND("/",Tabla2[[#This Row],[codigo_producto]]))</f>
        <v>130C17529R</v>
      </c>
      <c r="L431" t="str">
        <f>LEFT(Tabla2[[#This Row],[codigo_producto]],FIND("/",Tabla2[[#This Row],[codigo_producto]])-1)</f>
        <v>3</v>
      </c>
      <c r="M43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32" spans="1:13" x14ac:dyDescent="0.25">
      <c r="A432" t="s">
        <v>3252</v>
      </c>
      <c r="B432" t="s">
        <v>2026</v>
      </c>
      <c r="C432" t="s">
        <v>2026</v>
      </c>
      <c r="D432">
        <v>32</v>
      </c>
      <c r="E432">
        <v>7</v>
      </c>
      <c r="F432">
        <v>9</v>
      </c>
      <c r="G432">
        <v>12</v>
      </c>
      <c r="H432" t="s">
        <v>2814</v>
      </c>
      <c r="I43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32" t="s">
        <v>437</v>
      </c>
      <c r="K432" t="str">
        <f>RIGHT(Tabla2[[#This Row],[codigo_producto]],LEN(Tabla2[[#This Row],[codigo_producto]])-FIND("/",Tabla2[[#This Row],[codigo_producto]]))</f>
        <v>135101KT0A</v>
      </c>
      <c r="L432" t="str">
        <f>LEFT(Tabla2[[#This Row],[codigo_producto]],FIND("/",Tabla2[[#This Row],[codigo_producto]])-1)</f>
        <v>3</v>
      </c>
      <c r="M43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33" spans="1:13" x14ac:dyDescent="0.25">
      <c r="A433" t="s">
        <v>3253</v>
      </c>
      <c r="B433" t="s">
        <v>2027</v>
      </c>
      <c r="C433" t="s">
        <v>2027</v>
      </c>
      <c r="D433">
        <v>32</v>
      </c>
      <c r="E433">
        <v>7</v>
      </c>
      <c r="F433">
        <v>9</v>
      </c>
      <c r="G433">
        <v>12</v>
      </c>
      <c r="H433" t="s">
        <v>2814</v>
      </c>
      <c r="I43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33" t="s">
        <v>438</v>
      </c>
      <c r="K433" t="str">
        <f>RIGHT(Tabla2[[#This Row],[codigo_producto]],LEN(Tabla2[[#This Row],[codigo_producto]])-FIND("/",Tabla2[[#This Row],[codigo_producto]]))</f>
        <v>152085758R</v>
      </c>
      <c r="L433" t="str">
        <f>LEFT(Tabla2[[#This Row],[codigo_producto]],FIND("/",Tabla2[[#This Row],[codigo_producto]])-1)</f>
        <v>3</v>
      </c>
      <c r="M43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34" spans="1:13" x14ac:dyDescent="0.25">
      <c r="A434" t="s">
        <v>3254</v>
      </c>
      <c r="B434" t="s">
        <v>1712</v>
      </c>
      <c r="C434" t="s">
        <v>1712</v>
      </c>
      <c r="D434">
        <v>32</v>
      </c>
      <c r="E434">
        <v>7</v>
      </c>
      <c r="F434">
        <v>9</v>
      </c>
      <c r="G434">
        <v>12</v>
      </c>
      <c r="H434" t="s">
        <v>2814</v>
      </c>
      <c r="I43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34" t="s">
        <v>439</v>
      </c>
      <c r="K434" t="str">
        <f>RIGHT(Tabla2[[#This Row],[codigo_producto]],LEN(Tabla2[[#This Row],[codigo_producto]])-FIND("/",Tabla2[[#This Row],[codigo_producto]]))</f>
        <v>152088127R</v>
      </c>
      <c r="L434" t="str">
        <f>LEFT(Tabla2[[#This Row],[codigo_producto]],FIND("/",Tabla2[[#This Row],[codigo_producto]])-1)</f>
        <v>3</v>
      </c>
      <c r="M43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35" spans="1:13" x14ac:dyDescent="0.25">
      <c r="A435" t="s">
        <v>3255</v>
      </c>
      <c r="B435" t="s">
        <v>2028</v>
      </c>
      <c r="C435" t="s">
        <v>2028</v>
      </c>
      <c r="D435">
        <v>32</v>
      </c>
      <c r="E435">
        <v>7</v>
      </c>
      <c r="F435">
        <v>9</v>
      </c>
      <c r="G435">
        <v>12</v>
      </c>
      <c r="H435" t="s">
        <v>2814</v>
      </c>
      <c r="I43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35" t="s">
        <v>440</v>
      </c>
      <c r="K435" t="str">
        <f>RIGHT(Tabla2[[#This Row],[codigo_producto]],LEN(Tabla2[[#This Row],[codigo_producto]])-FIND("/",Tabla2[[#This Row],[codigo_producto]]))</f>
        <v>15208BN30A</v>
      </c>
      <c r="L435" t="str">
        <f>LEFT(Tabla2[[#This Row],[codigo_producto]],FIND("/",Tabla2[[#This Row],[codigo_producto]])-1)</f>
        <v>3</v>
      </c>
      <c r="M43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36" spans="1:13" x14ac:dyDescent="0.25">
      <c r="A436" t="s">
        <v>3256</v>
      </c>
      <c r="B436" t="s">
        <v>1712</v>
      </c>
      <c r="C436" t="s">
        <v>1712</v>
      </c>
      <c r="D436">
        <v>32</v>
      </c>
      <c r="E436">
        <v>7</v>
      </c>
      <c r="F436">
        <v>9</v>
      </c>
      <c r="G436">
        <v>12</v>
      </c>
      <c r="H436" t="s">
        <v>2814</v>
      </c>
      <c r="I43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36" t="s">
        <v>441</v>
      </c>
      <c r="K436" t="str">
        <f>RIGHT(Tabla2[[#This Row],[codigo_producto]],LEN(Tabla2[[#This Row],[codigo_producto]])-FIND("/",Tabla2[[#This Row],[codigo_producto]]))</f>
        <v>152093920R</v>
      </c>
      <c r="L436" t="str">
        <f>LEFT(Tabla2[[#This Row],[codigo_producto]],FIND("/",Tabla2[[#This Row],[codigo_producto]])-1)</f>
        <v>3</v>
      </c>
      <c r="M43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37" spans="1:13" x14ac:dyDescent="0.25">
      <c r="A437" t="s">
        <v>3257</v>
      </c>
      <c r="B437" t="s">
        <v>1712</v>
      </c>
      <c r="C437" t="s">
        <v>1712</v>
      </c>
      <c r="D437">
        <v>32</v>
      </c>
      <c r="E437">
        <v>7</v>
      </c>
      <c r="F437">
        <v>9</v>
      </c>
      <c r="G437">
        <v>12</v>
      </c>
      <c r="H437" t="s">
        <v>2814</v>
      </c>
      <c r="I43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37" t="s">
        <v>442</v>
      </c>
      <c r="K437" t="str">
        <f>RIGHT(Tabla2[[#This Row],[codigo_producto]],LEN(Tabla2[[#This Row],[codigo_producto]])-FIND("/",Tabla2[[#This Row],[codigo_producto]]))</f>
        <v>152095084R</v>
      </c>
      <c r="L437" t="str">
        <f>LEFT(Tabla2[[#This Row],[codigo_producto]],FIND("/",Tabla2[[#This Row],[codigo_producto]])-1)</f>
        <v>3</v>
      </c>
      <c r="M43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38" spans="1:13" x14ac:dyDescent="0.25">
      <c r="A438" t="s">
        <v>3258</v>
      </c>
      <c r="B438" t="s">
        <v>1827</v>
      </c>
      <c r="C438" t="s">
        <v>1827</v>
      </c>
      <c r="D438">
        <v>32</v>
      </c>
      <c r="E438">
        <v>7</v>
      </c>
      <c r="F438">
        <v>9</v>
      </c>
      <c r="G438">
        <v>12</v>
      </c>
      <c r="H438" t="s">
        <v>2814</v>
      </c>
      <c r="I43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38" t="s">
        <v>443</v>
      </c>
      <c r="K438" t="str">
        <f>RIGHT(Tabla2[[#This Row],[codigo_producto]],LEN(Tabla2[[#This Row],[codigo_producto]])-FIND("/",Tabla2[[#This Row],[codigo_producto]]))</f>
        <v>164039587R</v>
      </c>
      <c r="L438" t="str">
        <f>LEFT(Tabla2[[#This Row],[codigo_producto]],FIND("/",Tabla2[[#This Row],[codigo_producto]])-1)</f>
        <v>3</v>
      </c>
      <c r="M43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39" spans="1:13" x14ac:dyDescent="0.25">
      <c r="A439" t="s">
        <v>3259</v>
      </c>
      <c r="B439" t="s">
        <v>2029</v>
      </c>
      <c r="C439" t="s">
        <v>2029</v>
      </c>
      <c r="D439">
        <v>32</v>
      </c>
      <c r="E439">
        <v>7</v>
      </c>
      <c r="F439">
        <v>9</v>
      </c>
      <c r="G439">
        <v>12</v>
      </c>
      <c r="H439" t="s">
        <v>2814</v>
      </c>
      <c r="I43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39" t="s">
        <v>444</v>
      </c>
      <c r="K439" t="str">
        <f>RIGHT(Tabla2[[#This Row],[codigo_producto]],LEN(Tabla2[[#This Row],[codigo_producto]])-FIND("/",Tabla2[[#This Row],[codigo_producto]]))</f>
        <v>1654630P00</v>
      </c>
      <c r="L439" t="str">
        <f>LEFT(Tabla2[[#This Row],[codigo_producto]],FIND("/",Tabla2[[#This Row],[codigo_producto]])-1)</f>
        <v>3</v>
      </c>
      <c r="M43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40" spans="1:13" x14ac:dyDescent="0.25">
      <c r="A440" t="s">
        <v>3260</v>
      </c>
      <c r="B440" t="s">
        <v>2030</v>
      </c>
      <c r="C440" t="s">
        <v>2030</v>
      </c>
      <c r="D440">
        <v>32</v>
      </c>
      <c r="E440">
        <v>7</v>
      </c>
      <c r="F440">
        <v>9</v>
      </c>
      <c r="G440">
        <v>12</v>
      </c>
      <c r="H440" t="s">
        <v>2814</v>
      </c>
      <c r="I44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40" t="s">
        <v>445</v>
      </c>
      <c r="K440" t="str">
        <f>RIGHT(Tabla2[[#This Row],[codigo_producto]],LEN(Tabla2[[#This Row],[codigo_producto]])-FIND("/",Tabla2[[#This Row],[codigo_producto]]))</f>
        <v>165465171R</v>
      </c>
      <c r="L440" t="str">
        <f>LEFT(Tabla2[[#This Row],[codigo_producto]],FIND("/",Tabla2[[#This Row],[codigo_producto]])-1)</f>
        <v>3</v>
      </c>
      <c r="M44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41" spans="1:13" x14ac:dyDescent="0.25">
      <c r="A441" t="s">
        <v>3261</v>
      </c>
      <c r="B441" t="s">
        <v>1715</v>
      </c>
      <c r="C441" t="s">
        <v>1715</v>
      </c>
      <c r="D441">
        <v>32</v>
      </c>
      <c r="E441">
        <v>7</v>
      </c>
      <c r="F441">
        <v>9</v>
      </c>
      <c r="G441">
        <v>12</v>
      </c>
      <c r="H441" t="s">
        <v>2814</v>
      </c>
      <c r="I44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41" t="s">
        <v>446</v>
      </c>
      <c r="K441" t="str">
        <f>RIGHT(Tabla2[[#This Row],[codigo_producto]],LEN(Tabla2[[#This Row],[codigo_producto]])-FIND("/",Tabla2[[#This Row],[codigo_producto]]))</f>
        <v>165466859R</v>
      </c>
      <c r="L441" t="str">
        <f>LEFT(Tabla2[[#This Row],[codigo_producto]],FIND("/",Tabla2[[#This Row],[codigo_producto]])-1)</f>
        <v>3</v>
      </c>
      <c r="M44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42" spans="1:13" x14ac:dyDescent="0.25">
      <c r="A442" t="s">
        <v>3262</v>
      </c>
      <c r="B442" t="s">
        <v>1714</v>
      </c>
      <c r="C442" t="s">
        <v>1714</v>
      </c>
      <c r="D442">
        <v>32</v>
      </c>
      <c r="E442">
        <v>7</v>
      </c>
      <c r="F442">
        <v>9</v>
      </c>
      <c r="G442">
        <v>12</v>
      </c>
      <c r="H442" t="s">
        <v>2814</v>
      </c>
      <c r="I44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42" t="s">
        <v>447</v>
      </c>
      <c r="K442" t="str">
        <f>RIGHT(Tabla2[[#This Row],[codigo_producto]],LEN(Tabla2[[#This Row],[codigo_producto]])-FIND("/",Tabla2[[#This Row],[codigo_producto]]))</f>
        <v>165467033R</v>
      </c>
      <c r="L442" t="str">
        <f>LEFT(Tabla2[[#This Row],[codigo_producto]],FIND("/",Tabla2[[#This Row],[codigo_producto]])-1)</f>
        <v>3</v>
      </c>
      <c r="M44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43" spans="1:13" x14ac:dyDescent="0.25">
      <c r="A443" t="s">
        <v>3263</v>
      </c>
      <c r="B443" t="s">
        <v>1714</v>
      </c>
      <c r="C443" t="s">
        <v>1714</v>
      </c>
      <c r="D443">
        <v>32</v>
      </c>
      <c r="E443">
        <v>7</v>
      </c>
      <c r="F443">
        <v>9</v>
      </c>
      <c r="G443">
        <v>12</v>
      </c>
      <c r="H443" t="s">
        <v>2814</v>
      </c>
      <c r="I44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43" t="s">
        <v>448</v>
      </c>
      <c r="K443" t="str">
        <f>RIGHT(Tabla2[[#This Row],[codigo_producto]],LEN(Tabla2[[#This Row],[codigo_producto]])-FIND("/",Tabla2[[#This Row],[codigo_producto]]))</f>
        <v>165467674R</v>
      </c>
      <c r="L443" t="str">
        <f>LEFT(Tabla2[[#This Row],[codigo_producto]],FIND("/",Tabla2[[#This Row],[codigo_producto]])-1)</f>
        <v>3</v>
      </c>
      <c r="M44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44" spans="1:13" x14ac:dyDescent="0.25">
      <c r="A444" t="s">
        <v>3264</v>
      </c>
      <c r="B444" t="s">
        <v>1715</v>
      </c>
      <c r="C444" t="s">
        <v>1715</v>
      </c>
      <c r="D444">
        <v>32</v>
      </c>
      <c r="E444">
        <v>7</v>
      </c>
      <c r="F444">
        <v>9</v>
      </c>
      <c r="G444">
        <v>12</v>
      </c>
      <c r="H444" t="s">
        <v>2814</v>
      </c>
      <c r="I44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44" t="s">
        <v>449</v>
      </c>
      <c r="K444" t="str">
        <f>RIGHT(Tabla2[[#This Row],[codigo_producto]],LEN(Tabla2[[#This Row],[codigo_producto]])-FIND("/",Tabla2[[#This Row],[codigo_producto]]))</f>
        <v>165467751R</v>
      </c>
      <c r="L444" t="str">
        <f>LEFT(Tabla2[[#This Row],[codigo_producto]],FIND("/",Tabla2[[#This Row],[codigo_producto]])-1)</f>
        <v>3</v>
      </c>
      <c r="M44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45" spans="1:13" x14ac:dyDescent="0.25">
      <c r="A445" t="s">
        <v>3265</v>
      </c>
      <c r="B445" t="s">
        <v>1715</v>
      </c>
      <c r="C445" t="s">
        <v>1715</v>
      </c>
      <c r="D445">
        <v>32</v>
      </c>
      <c r="E445">
        <v>7</v>
      </c>
      <c r="F445">
        <v>9</v>
      </c>
      <c r="G445">
        <v>12</v>
      </c>
      <c r="H445" t="s">
        <v>2814</v>
      </c>
      <c r="I44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45" t="s">
        <v>450</v>
      </c>
      <c r="K445" t="str">
        <f>RIGHT(Tabla2[[#This Row],[codigo_producto]],LEN(Tabla2[[#This Row],[codigo_producto]])-FIND("/",Tabla2[[#This Row],[codigo_producto]]))</f>
        <v>165467753R</v>
      </c>
      <c r="L445" t="str">
        <f>LEFT(Tabla2[[#This Row],[codigo_producto]],FIND("/",Tabla2[[#This Row],[codigo_producto]])-1)</f>
        <v>3</v>
      </c>
      <c r="M44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46" spans="1:13" x14ac:dyDescent="0.25">
      <c r="A446" t="s">
        <v>3266</v>
      </c>
      <c r="B446" t="s">
        <v>1715</v>
      </c>
      <c r="C446" t="s">
        <v>1715</v>
      </c>
      <c r="D446">
        <v>32</v>
      </c>
      <c r="E446">
        <v>7</v>
      </c>
      <c r="F446">
        <v>9</v>
      </c>
      <c r="G446">
        <v>12</v>
      </c>
      <c r="H446" t="s">
        <v>2814</v>
      </c>
      <c r="I44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46" t="s">
        <v>451</v>
      </c>
      <c r="K446" t="str">
        <f>RIGHT(Tabla2[[#This Row],[codigo_producto]],LEN(Tabla2[[#This Row],[codigo_producto]])-FIND("/",Tabla2[[#This Row],[codigo_producto]]))</f>
        <v>165469466R</v>
      </c>
      <c r="L446" t="str">
        <f>LEFT(Tabla2[[#This Row],[codigo_producto]],FIND("/",Tabla2[[#This Row],[codigo_producto]])-1)</f>
        <v>3</v>
      </c>
      <c r="M44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47" spans="1:13" x14ac:dyDescent="0.25">
      <c r="A447" t="s">
        <v>3267</v>
      </c>
      <c r="B447" t="s">
        <v>1714</v>
      </c>
      <c r="C447" t="s">
        <v>1714</v>
      </c>
      <c r="D447">
        <v>32</v>
      </c>
      <c r="E447">
        <v>7</v>
      </c>
      <c r="F447">
        <v>9</v>
      </c>
      <c r="G447">
        <v>12</v>
      </c>
      <c r="H447" t="s">
        <v>2814</v>
      </c>
      <c r="I44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47" t="s">
        <v>452</v>
      </c>
      <c r="K447" t="str">
        <f>RIGHT(Tabla2[[#This Row],[codigo_producto]],LEN(Tabla2[[#This Row],[codigo_producto]])-FIND("/",Tabla2[[#This Row],[codigo_producto]]))</f>
        <v>165469905R</v>
      </c>
      <c r="L447" t="str">
        <f>LEFT(Tabla2[[#This Row],[codigo_producto]],FIND("/",Tabla2[[#This Row],[codigo_producto]])-1)</f>
        <v>3</v>
      </c>
      <c r="M44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48" spans="1:13" x14ac:dyDescent="0.25">
      <c r="A448" t="s">
        <v>3268</v>
      </c>
      <c r="B448" t="s">
        <v>2031</v>
      </c>
      <c r="C448" t="s">
        <v>2031</v>
      </c>
      <c r="D448">
        <v>32</v>
      </c>
      <c r="E448">
        <v>7</v>
      </c>
      <c r="F448">
        <v>9</v>
      </c>
      <c r="G448">
        <v>12</v>
      </c>
      <c r="H448" t="s">
        <v>2814</v>
      </c>
      <c r="I44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48" t="s">
        <v>453</v>
      </c>
      <c r="K448" t="str">
        <f>RIGHT(Tabla2[[#This Row],[codigo_producto]],LEN(Tabla2[[#This Row],[codigo_producto]])-FIND("/",Tabla2[[#This Row],[codigo_producto]]))</f>
        <v>215062710R</v>
      </c>
      <c r="L448" t="str">
        <f>LEFT(Tabla2[[#This Row],[codigo_producto]],FIND("/",Tabla2[[#This Row],[codigo_producto]])-1)</f>
        <v>3</v>
      </c>
      <c r="M44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49" spans="1:13" x14ac:dyDescent="0.25">
      <c r="A449" t="s">
        <v>3269</v>
      </c>
      <c r="B449" t="s">
        <v>1839</v>
      </c>
      <c r="C449" t="s">
        <v>1839</v>
      </c>
      <c r="D449">
        <v>32</v>
      </c>
      <c r="E449">
        <v>7</v>
      </c>
      <c r="F449">
        <v>9</v>
      </c>
      <c r="G449">
        <v>12</v>
      </c>
      <c r="H449" t="s">
        <v>2814</v>
      </c>
      <c r="I44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49" t="s">
        <v>454</v>
      </c>
      <c r="K449" t="str">
        <f>RIGHT(Tabla2[[#This Row],[codigo_producto]],LEN(Tabla2[[#This Row],[codigo_producto]])-FIND("/",Tabla2[[#This Row],[codigo_producto]]))</f>
        <v>224017628R</v>
      </c>
      <c r="L449" t="str">
        <f>LEFT(Tabla2[[#This Row],[codigo_producto]],FIND("/",Tabla2[[#This Row],[codigo_producto]])-1)</f>
        <v>3</v>
      </c>
      <c r="M44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50" spans="1:13" x14ac:dyDescent="0.25">
      <c r="A450" t="s">
        <v>3270</v>
      </c>
      <c r="B450" t="s">
        <v>1839</v>
      </c>
      <c r="C450" t="s">
        <v>1839</v>
      </c>
      <c r="D450">
        <v>32</v>
      </c>
      <c r="E450">
        <v>7</v>
      </c>
      <c r="F450">
        <v>9</v>
      </c>
      <c r="G450">
        <v>12</v>
      </c>
      <c r="H450" t="s">
        <v>2814</v>
      </c>
      <c r="I45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50" t="s">
        <v>455</v>
      </c>
      <c r="K450" t="str">
        <f>RIGHT(Tabla2[[#This Row],[codigo_producto]],LEN(Tabla2[[#This Row],[codigo_producto]])-FIND("/",Tabla2[[#This Row],[codigo_producto]]))</f>
        <v>224018760R</v>
      </c>
      <c r="L450" t="str">
        <f>LEFT(Tabla2[[#This Row],[codigo_producto]],FIND("/",Tabla2[[#This Row],[codigo_producto]])-1)</f>
        <v>3</v>
      </c>
      <c r="M45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51" spans="1:13" x14ac:dyDescent="0.25">
      <c r="A451" t="s">
        <v>3271</v>
      </c>
      <c r="B451" t="s">
        <v>1839</v>
      </c>
      <c r="C451" t="s">
        <v>1839</v>
      </c>
      <c r="D451">
        <v>32</v>
      </c>
      <c r="E451">
        <v>7</v>
      </c>
      <c r="F451">
        <v>9</v>
      </c>
      <c r="G451">
        <v>12</v>
      </c>
      <c r="H451" t="s">
        <v>2814</v>
      </c>
      <c r="I45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51" t="s">
        <v>456</v>
      </c>
      <c r="K451" t="str">
        <f>RIGHT(Tabla2[[#This Row],[codigo_producto]],LEN(Tabla2[[#This Row],[codigo_producto]])-FIND("/",Tabla2[[#This Row],[codigo_producto]]))</f>
        <v>224019185R</v>
      </c>
      <c r="L451" t="str">
        <f>LEFT(Tabla2[[#This Row],[codigo_producto]],FIND("/",Tabla2[[#This Row],[codigo_producto]])-1)</f>
        <v>3</v>
      </c>
      <c r="M45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52" spans="1:13" x14ac:dyDescent="0.25">
      <c r="A452" t="s">
        <v>3272</v>
      </c>
      <c r="B452" t="s">
        <v>1839</v>
      </c>
      <c r="C452" t="s">
        <v>1839</v>
      </c>
      <c r="D452">
        <v>32</v>
      </c>
      <c r="E452">
        <v>7</v>
      </c>
      <c r="F452">
        <v>9</v>
      </c>
      <c r="G452">
        <v>12</v>
      </c>
      <c r="H452" t="s">
        <v>2814</v>
      </c>
      <c r="I45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52" t="s">
        <v>457</v>
      </c>
      <c r="K452" t="str">
        <f>RIGHT(Tabla2[[#This Row],[codigo_producto]],LEN(Tabla2[[#This Row],[codigo_producto]])-FIND("/",Tabla2[[#This Row],[codigo_producto]]))</f>
        <v>224019372R</v>
      </c>
      <c r="L452" t="str">
        <f>LEFT(Tabla2[[#This Row],[codigo_producto]],FIND("/",Tabla2[[#This Row],[codigo_producto]])-1)</f>
        <v>3</v>
      </c>
      <c r="M45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53" spans="1:13" x14ac:dyDescent="0.25">
      <c r="A453" t="s">
        <v>3273</v>
      </c>
      <c r="B453" t="s">
        <v>1839</v>
      </c>
      <c r="C453" t="s">
        <v>1839</v>
      </c>
      <c r="D453">
        <v>32</v>
      </c>
      <c r="E453">
        <v>7</v>
      </c>
      <c r="F453">
        <v>9</v>
      </c>
      <c r="G453">
        <v>12</v>
      </c>
      <c r="H453" t="s">
        <v>2814</v>
      </c>
      <c r="I45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53" t="s">
        <v>458</v>
      </c>
      <c r="K453" t="str">
        <f>RIGHT(Tabla2[[#This Row],[codigo_producto]],LEN(Tabla2[[#This Row],[codigo_producto]])-FIND("/",Tabla2[[#This Row],[codigo_producto]]))</f>
        <v>22401ED71B</v>
      </c>
      <c r="L453" t="str">
        <f>LEFT(Tabla2[[#This Row],[codigo_producto]],FIND("/",Tabla2[[#This Row],[codigo_producto]])-1)</f>
        <v>3</v>
      </c>
      <c r="M45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54" spans="1:13" x14ac:dyDescent="0.25">
      <c r="A454" t="s">
        <v>3274</v>
      </c>
      <c r="B454" t="s">
        <v>1729</v>
      </c>
      <c r="C454" t="s">
        <v>1729</v>
      </c>
      <c r="D454">
        <v>32</v>
      </c>
      <c r="E454">
        <v>7</v>
      </c>
      <c r="F454">
        <v>9</v>
      </c>
      <c r="G454">
        <v>12</v>
      </c>
      <c r="H454" t="s">
        <v>2814</v>
      </c>
      <c r="I45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54" t="s">
        <v>459</v>
      </c>
      <c r="K454" t="str">
        <f>RIGHT(Tabla2[[#This Row],[codigo_producto]],LEN(Tabla2[[#This Row],[codigo_producto]])-FIND("/",Tabla2[[#This Row],[codigo_producto]]))</f>
        <v>272770840R</v>
      </c>
      <c r="L454" t="str">
        <f>LEFT(Tabla2[[#This Row],[codigo_producto]],FIND("/",Tabla2[[#This Row],[codigo_producto]])-1)</f>
        <v>3</v>
      </c>
      <c r="M45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55" spans="1:13" x14ac:dyDescent="0.25">
      <c r="A455" t="s">
        <v>3275</v>
      </c>
      <c r="B455" t="s">
        <v>2032</v>
      </c>
      <c r="C455" t="s">
        <v>2032</v>
      </c>
      <c r="D455">
        <v>32</v>
      </c>
      <c r="E455">
        <v>7</v>
      </c>
      <c r="F455">
        <v>9</v>
      </c>
      <c r="G455">
        <v>12</v>
      </c>
      <c r="H455" t="s">
        <v>2814</v>
      </c>
      <c r="I45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55" t="s">
        <v>460</v>
      </c>
      <c r="K455" t="str">
        <f>RIGHT(Tabla2[[#This Row],[codigo_producto]],LEN(Tabla2[[#This Row],[codigo_producto]])-FIND("/",Tabla2[[#This Row],[codigo_producto]]))</f>
        <v>272772132R</v>
      </c>
      <c r="L455" t="str">
        <f>LEFT(Tabla2[[#This Row],[codigo_producto]],FIND("/",Tabla2[[#This Row],[codigo_producto]])-1)</f>
        <v>3</v>
      </c>
      <c r="M45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56" spans="1:13" x14ac:dyDescent="0.25">
      <c r="A456" t="s">
        <v>3276</v>
      </c>
      <c r="B456" t="s">
        <v>2033</v>
      </c>
      <c r="C456" t="s">
        <v>2033</v>
      </c>
      <c r="D456">
        <v>32</v>
      </c>
      <c r="E456">
        <v>7</v>
      </c>
      <c r="F456">
        <v>9</v>
      </c>
      <c r="G456">
        <v>12</v>
      </c>
      <c r="H456" t="s">
        <v>2814</v>
      </c>
      <c r="I45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56" t="s">
        <v>461</v>
      </c>
      <c r="K456" t="str">
        <f>RIGHT(Tabla2[[#This Row],[codigo_producto]],LEN(Tabla2[[#This Row],[codigo_producto]])-FIND("/",Tabla2[[#This Row],[codigo_producto]]))</f>
        <v>272772520R</v>
      </c>
      <c r="L456" t="str">
        <f>LEFT(Tabla2[[#This Row],[codigo_producto]],FIND("/",Tabla2[[#This Row],[codigo_producto]])-1)</f>
        <v>3</v>
      </c>
      <c r="M45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57" spans="1:13" x14ac:dyDescent="0.25">
      <c r="A457" t="s">
        <v>3277</v>
      </c>
      <c r="B457" t="s">
        <v>1729</v>
      </c>
      <c r="C457" t="s">
        <v>1729</v>
      </c>
      <c r="D457">
        <v>32</v>
      </c>
      <c r="E457">
        <v>7</v>
      </c>
      <c r="F457">
        <v>9</v>
      </c>
      <c r="G457">
        <v>12</v>
      </c>
      <c r="H457" t="s">
        <v>2814</v>
      </c>
      <c r="I45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57" t="s">
        <v>462</v>
      </c>
      <c r="K457" t="str">
        <f>RIGHT(Tabla2[[#This Row],[codigo_producto]],LEN(Tabla2[[#This Row],[codigo_producto]])-FIND("/",Tabla2[[#This Row],[codigo_producto]]))</f>
        <v>272773223R</v>
      </c>
      <c r="L457" t="str">
        <f>LEFT(Tabla2[[#This Row],[codigo_producto]],FIND("/",Tabla2[[#This Row],[codigo_producto]])-1)</f>
        <v>3</v>
      </c>
      <c r="M45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58" spans="1:13" x14ac:dyDescent="0.25">
      <c r="A458" t="s">
        <v>3278</v>
      </c>
      <c r="B458" t="s">
        <v>1829</v>
      </c>
      <c r="C458" t="s">
        <v>1829</v>
      </c>
      <c r="D458">
        <v>32</v>
      </c>
      <c r="E458">
        <v>7</v>
      </c>
      <c r="F458">
        <v>9</v>
      </c>
      <c r="G458">
        <v>12</v>
      </c>
      <c r="H458" t="s">
        <v>2814</v>
      </c>
      <c r="I45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58" t="s">
        <v>463</v>
      </c>
      <c r="K458" t="str">
        <f>RIGHT(Tabla2[[#This Row],[codigo_producto]],LEN(Tabla2[[#This Row],[codigo_producto]])-FIND("/",Tabla2[[#This Row],[codigo_producto]]))</f>
        <v>272774072R</v>
      </c>
      <c r="L458" t="str">
        <f>LEFT(Tabla2[[#This Row],[codigo_producto]],FIND("/",Tabla2[[#This Row],[codigo_producto]])-1)</f>
        <v>3</v>
      </c>
      <c r="M45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59" spans="1:13" x14ac:dyDescent="0.25">
      <c r="A459" t="s">
        <v>3279</v>
      </c>
      <c r="B459" t="s">
        <v>1799</v>
      </c>
      <c r="C459" t="s">
        <v>1799</v>
      </c>
      <c r="D459">
        <v>32</v>
      </c>
      <c r="E459">
        <v>7</v>
      </c>
      <c r="F459">
        <v>9</v>
      </c>
      <c r="G459">
        <v>12</v>
      </c>
      <c r="H459" t="s">
        <v>2814</v>
      </c>
      <c r="I45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59" t="s">
        <v>464</v>
      </c>
      <c r="K459" t="str">
        <f>RIGHT(Tabla2[[#This Row],[codigo_producto]],LEN(Tabla2[[#This Row],[codigo_producto]])-FIND("/",Tabla2[[#This Row],[codigo_producto]]))</f>
        <v>272775JJ0A</v>
      </c>
      <c r="L459" t="str">
        <f>LEFT(Tabla2[[#This Row],[codigo_producto]],FIND("/",Tabla2[[#This Row],[codigo_producto]])-1)</f>
        <v>3</v>
      </c>
      <c r="M45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60" spans="1:13" x14ac:dyDescent="0.25">
      <c r="A460" t="s">
        <v>3280</v>
      </c>
      <c r="B460" t="s">
        <v>1799</v>
      </c>
      <c r="C460" t="s">
        <v>1799</v>
      </c>
      <c r="D460">
        <v>32</v>
      </c>
      <c r="E460">
        <v>7</v>
      </c>
      <c r="F460">
        <v>9</v>
      </c>
      <c r="G460">
        <v>12</v>
      </c>
      <c r="H460" t="s">
        <v>2814</v>
      </c>
      <c r="I46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60" t="s">
        <v>465</v>
      </c>
      <c r="K460" t="str">
        <f>RIGHT(Tabla2[[#This Row],[codigo_producto]],LEN(Tabla2[[#This Row],[codigo_producto]])-FIND("/",Tabla2[[#This Row],[codigo_producto]]))</f>
        <v>272779203R</v>
      </c>
      <c r="L460" t="str">
        <f>LEFT(Tabla2[[#This Row],[codigo_producto]],FIND("/",Tabla2[[#This Row],[codigo_producto]])-1)</f>
        <v>3</v>
      </c>
      <c r="M46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61" spans="1:13" x14ac:dyDescent="0.25">
      <c r="A461" t="s">
        <v>3281</v>
      </c>
      <c r="B461" t="s">
        <v>2033</v>
      </c>
      <c r="C461" t="s">
        <v>2033</v>
      </c>
      <c r="D461">
        <v>32</v>
      </c>
      <c r="E461">
        <v>7</v>
      </c>
      <c r="F461">
        <v>9</v>
      </c>
      <c r="G461">
        <v>12</v>
      </c>
      <c r="H461" t="s">
        <v>2814</v>
      </c>
      <c r="I46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61" t="s">
        <v>466</v>
      </c>
      <c r="K461" t="str">
        <f>RIGHT(Tabla2[[#This Row],[codigo_producto]],LEN(Tabla2[[#This Row],[codigo_producto]])-FIND("/",Tabla2[[#This Row],[codigo_producto]]))</f>
        <v>272779698R</v>
      </c>
      <c r="L461" t="str">
        <f>LEFT(Tabla2[[#This Row],[codigo_producto]],FIND("/",Tabla2[[#This Row],[codigo_producto]])-1)</f>
        <v>3</v>
      </c>
      <c r="M46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62" spans="1:13" x14ac:dyDescent="0.25">
      <c r="A462" t="s">
        <v>3282</v>
      </c>
      <c r="B462" t="s">
        <v>2034</v>
      </c>
      <c r="C462" t="s">
        <v>2034</v>
      </c>
      <c r="D462">
        <v>32</v>
      </c>
      <c r="E462">
        <v>7</v>
      </c>
      <c r="F462">
        <v>9</v>
      </c>
      <c r="G462">
        <v>12</v>
      </c>
      <c r="H462" t="s">
        <v>2814</v>
      </c>
      <c r="I46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62" t="s">
        <v>467</v>
      </c>
      <c r="K462" t="str">
        <f>RIGHT(Tabla2[[#This Row],[codigo_producto]],LEN(Tabla2[[#This Row],[codigo_producto]])-FIND("/",Tabla2[[#This Row],[codigo_producto]]))</f>
        <v>285976230R</v>
      </c>
      <c r="L462" t="str">
        <f>LEFT(Tabla2[[#This Row],[codigo_producto]],FIND("/",Tabla2[[#This Row],[codigo_producto]])-1)</f>
        <v>3</v>
      </c>
      <c r="M46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63" spans="1:13" x14ac:dyDescent="0.25">
      <c r="A463" t="s">
        <v>3283</v>
      </c>
      <c r="B463" t="s">
        <v>2035</v>
      </c>
      <c r="C463" t="s">
        <v>2035</v>
      </c>
      <c r="D463">
        <v>32</v>
      </c>
      <c r="E463">
        <v>7</v>
      </c>
      <c r="F463">
        <v>9</v>
      </c>
      <c r="G463">
        <v>12</v>
      </c>
      <c r="H463" t="s">
        <v>2814</v>
      </c>
      <c r="I46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63" t="s">
        <v>468</v>
      </c>
      <c r="K463" t="str">
        <f>RIGHT(Tabla2[[#This Row],[codigo_producto]],LEN(Tabla2[[#This Row],[codigo_producto]])-FIND("/",Tabla2[[#This Row],[codigo_producto]]))</f>
        <v>322033100R</v>
      </c>
      <c r="L463" t="str">
        <f>LEFT(Tabla2[[#This Row],[codigo_producto]],FIND("/",Tabla2[[#This Row],[codigo_producto]])-1)</f>
        <v>3</v>
      </c>
      <c r="M46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64" spans="1:13" x14ac:dyDescent="0.25">
      <c r="A464" t="s">
        <v>3284</v>
      </c>
      <c r="B464" t="s">
        <v>2036</v>
      </c>
      <c r="C464" t="s">
        <v>2036</v>
      </c>
      <c r="D464">
        <v>32</v>
      </c>
      <c r="E464">
        <v>7</v>
      </c>
      <c r="F464">
        <v>9</v>
      </c>
      <c r="G464">
        <v>12</v>
      </c>
      <c r="H464" t="s">
        <v>2814</v>
      </c>
      <c r="I46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64" t="s">
        <v>469</v>
      </c>
      <c r="K464" t="str">
        <f>RIGHT(Tabla2[[#This Row],[codigo_producto]],LEN(Tabla2[[#This Row],[codigo_producto]])-FIND("/",Tabla2[[#This Row],[codigo_producto]]))</f>
        <v>364002480R</v>
      </c>
      <c r="L464" t="str">
        <f>LEFT(Tabla2[[#This Row],[codigo_producto]],FIND("/",Tabla2[[#This Row],[codigo_producto]])-1)</f>
        <v>3</v>
      </c>
      <c r="M46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65" spans="1:13" x14ac:dyDescent="0.25">
      <c r="A465" t="s">
        <v>3285</v>
      </c>
      <c r="B465" t="s">
        <v>2037</v>
      </c>
      <c r="C465" t="s">
        <v>2037</v>
      </c>
      <c r="D465">
        <v>32</v>
      </c>
      <c r="E465">
        <v>7</v>
      </c>
      <c r="F465">
        <v>9</v>
      </c>
      <c r="G465">
        <v>12</v>
      </c>
      <c r="H465" t="s">
        <v>2814</v>
      </c>
      <c r="I46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65" t="s">
        <v>470</v>
      </c>
      <c r="K465" t="str">
        <f>RIGHT(Tabla2[[#This Row],[codigo_producto]],LEN(Tabla2[[#This Row],[codigo_producto]])-FIND("/",Tabla2[[#This Row],[codigo_producto]]))</f>
        <v>383423705R</v>
      </c>
      <c r="L465" t="str">
        <f>LEFT(Tabla2[[#This Row],[codigo_producto]],FIND("/",Tabla2[[#This Row],[codigo_producto]])-1)</f>
        <v>3</v>
      </c>
      <c r="M46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66" spans="1:13" x14ac:dyDescent="0.25">
      <c r="A466" t="s">
        <v>3286</v>
      </c>
      <c r="B466" t="s">
        <v>2038</v>
      </c>
      <c r="C466" t="s">
        <v>2038</v>
      </c>
      <c r="D466">
        <v>32</v>
      </c>
      <c r="E466">
        <v>7</v>
      </c>
      <c r="F466">
        <v>9</v>
      </c>
      <c r="G466">
        <v>12</v>
      </c>
      <c r="H466" t="s">
        <v>2814</v>
      </c>
      <c r="I46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66" t="s">
        <v>471</v>
      </c>
      <c r="K466" t="str">
        <f>RIGHT(Tabla2[[#This Row],[codigo_producto]],LEN(Tabla2[[#This Row],[codigo_producto]])-FIND("/",Tabla2[[#This Row],[codigo_producto]]))</f>
        <v>402063140R</v>
      </c>
      <c r="L466" t="str">
        <f>LEFT(Tabla2[[#This Row],[codigo_producto]],FIND("/",Tabla2[[#This Row],[codigo_producto]])-1)</f>
        <v>3</v>
      </c>
      <c r="M46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67" spans="1:13" x14ac:dyDescent="0.25">
      <c r="A467" t="s">
        <v>3287</v>
      </c>
      <c r="B467" t="s">
        <v>2039</v>
      </c>
      <c r="C467" t="s">
        <v>2039</v>
      </c>
      <c r="D467">
        <v>32</v>
      </c>
      <c r="E467">
        <v>7</v>
      </c>
      <c r="F467">
        <v>9</v>
      </c>
      <c r="G467">
        <v>12</v>
      </c>
      <c r="H467" t="s">
        <v>2814</v>
      </c>
      <c r="I46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67" t="s">
        <v>472</v>
      </c>
      <c r="K467" t="str">
        <f>RIGHT(Tabla2[[#This Row],[codigo_producto]],LEN(Tabla2[[#This Row],[codigo_producto]])-FIND("/",Tabla2[[#This Row],[codigo_producto]]))</f>
        <v>402063149R</v>
      </c>
      <c r="L467" t="str">
        <f>LEFT(Tabla2[[#This Row],[codigo_producto]],FIND("/",Tabla2[[#This Row],[codigo_producto]])-1)</f>
        <v>3</v>
      </c>
      <c r="M46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68" spans="1:13" x14ac:dyDescent="0.25">
      <c r="A468" t="s">
        <v>3288</v>
      </c>
      <c r="B468" t="s">
        <v>2038</v>
      </c>
      <c r="C468" t="s">
        <v>2038</v>
      </c>
      <c r="D468">
        <v>32</v>
      </c>
      <c r="E468">
        <v>7</v>
      </c>
      <c r="F468">
        <v>9</v>
      </c>
      <c r="G468">
        <v>12</v>
      </c>
      <c r="H468" t="s">
        <v>2814</v>
      </c>
      <c r="I46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68" t="s">
        <v>473</v>
      </c>
      <c r="K468" t="str">
        <f>RIGHT(Tabla2[[#This Row],[codigo_producto]],LEN(Tabla2[[#This Row],[codigo_producto]])-FIND("/",Tabla2[[#This Row],[codigo_producto]]))</f>
        <v>402067902R</v>
      </c>
      <c r="L468" t="str">
        <f>LEFT(Tabla2[[#This Row],[codigo_producto]],FIND("/",Tabla2[[#This Row],[codigo_producto]])-1)</f>
        <v>3</v>
      </c>
      <c r="M46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69" spans="1:13" x14ac:dyDescent="0.25">
      <c r="A469" t="s">
        <v>3289</v>
      </c>
      <c r="B469" t="s">
        <v>2040</v>
      </c>
      <c r="C469" t="s">
        <v>2040</v>
      </c>
      <c r="D469">
        <v>32</v>
      </c>
      <c r="E469">
        <v>7</v>
      </c>
      <c r="F469">
        <v>9</v>
      </c>
      <c r="G469">
        <v>12</v>
      </c>
      <c r="H469" t="s">
        <v>2814</v>
      </c>
      <c r="I46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69" t="s">
        <v>474</v>
      </c>
      <c r="K469" t="str">
        <f>RIGHT(Tabla2[[#This Row],[codigo_producto]],LEN(Tabla2[[#This Row],[codigo_producto]])-FIND("/",Tabla2[[#This Row],[codigo_producto]]))</f>
        <v>402107387R</v>
      </c>
      <c r="L469" t="str">
        <f>LEFT(Tabla2[[#This Row],[codigo_producto]],FIND("/",Tabla2[[#This Row],[codigo_producto]])-1)</f>
        <v>3</v>
      </c>
      <c r="M46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70" spans="1:13" x14ac:dyDescent="0.25">
      <c r="A470" t="s">
        <v>3290</v>
      </c>
      <c r="B470" t="s">
        <v>2041</v>
      </c>
      <c r="C470" t="s">
        <v>2041</v>
      </c>
      <c r="D470">
        <v>32</v>
      </c>
      <c r="E470">
        <v>7</v>
      </c>
      <c r="F470">
        <v>9</v>
      </c>
      <c r="G470">
        <v>12</v>
      </c>
      <c r="H470" t="s">
        <v>2814</v>
      </c>
      <c r="I47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70" t="s">
        <v>475</v>
      </c>
      <c r="K470" t="str">
        <f>RIGHT(Tabla2[[#This Row],[codigo_producto]],LEN(Tabla2[[#This Row],[codigo_producto]])-FIND("/",Tabla2[[#This Row],[codigo_producto]]))</f>
        <v>410600222R</v>
      </c>
      <c r="L470" t="str">
        <f>LEFT(Tabla2[[#This Row],[codigo_producto]],FIND("/",Tabla2[[#This Row],[codigo_producto]])-1)</f>
        <v>3</v>
      </c>
      <c r="M47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71" spans="1:13" x14ac:dyDescent="0.25">
      <c r="A471" t="s">
        <v>3291</v>
      </c>
      <c r="B471" t="s">
        <v>2042</v>
      </c>
      <c r="C471" t="s">
        <v>2042</v>
      </c>
      <c r="D471">
        <v>32</v>
      </c>
      <c r="E471">
        <v>7</v>
      </c>
      <c r="F471">
        <v>9</v>
      </c>
      <c r="G471">
        <v>12</v>
      </c>
      <c r="H471" t="s">
        <v>2814</v>
      </c>
      <c r="I47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71" t="s">
        <v>476</v>
      </c>
      <c r="K471" t="str">
        <f>RIGHT(Tabla2[[#This Row],[codigo_producto]],LEN(Tabla2[[#This Row],[codigo_producto]])-FIND("/",Tabla2[[#This Row],[codigo_producto]]))</f>
        <v>410601408R</v>
      </c>
      <c r="L471" t="str">
        <f>LEFT(Tabla2[[#This Row],[codigo_producto]],FIND("/",Tabla2[[#This Row],[codigo_producto]])-1)</f>
        <v>3</v>
      </c>
      <c r="M47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72" spans="1:13" x14ac:dyDescent="0.25">
      <c r="A472" t="s">
        <v>3292</v>
      </c>
      <c r="B472" t="s">
        <v>2043</v>
      </c>
      <c r="C472" t="s">
        <v>2043</v>
      </c>
      <c r="D472">
        <v>32</v>
      </c>
      <c r="E472">
        <v>7</v>
      </c>
      <c r="F472">
        <v>9</v>
      </c>
      <c r="G472">
        <v>12</v>
      </c>
      <c r="H472" t="s">
        <v>2814</v>
      </c>
      <c r="I47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72" t="s">
        <v>477</v>
      </c>
      <c r="K472" t="str">
        <f>RIGHT(Tabla2[[#This Row],[codigo_producto]],LEN(Tabla2[[#This Row],[codigo_producto]])-FIND("/",Tabla2[[#This Row],[codigo_producto]]))</f>
        <v>410602192R</v>
      </c>
      <c r="L472" t="str">
        <f>LEFT(Tabla2[[#This Row],[codigo_producto]],FIND("/",Tabla2[[#This Row],[codigo_producto]])-1)</f>
        <v>3</v>
      </c>
      <c r="M47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73" spans="1:13" x14ac:dyDescent="0.25">
      <c r="A473" t="s">
        <v>3293</v>
      </c>
      <c r="B473" t="s">
        <v>1828</v>
      </c>
      <c r="C473" t="s">
        <v>1828</v>
      </c>
      <c r="D473">
        <v>32</v>
      </c>
      <c r="E473">
        <v>7</v>
      </c>
      <c r="F473">
        <v>9</v>
      </c>
      <c r="G473">
        <v>12</v>
      </c>
      <c r="H473" t="s">
        <v>2814</v>
      </c>
      <c r="I47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73" t="s">
        <v>478</v>
      </c>
      <c r="K473" t="str">
        <f>RIGHT(Tabla2[[#This Row],[codigo_producto]],LEN(Tabla2[[#This Row],[codigo_producto]])-FIND("/",Tabla2[[#This Row],[codigo_producto]]))</f>
        <v>410602581R</v>
      </c>
      <c r="L473" t="str">
        <f>LEFT(Tabla2[[#This Row],[codigo_producto]],FIND("/",Tabla2[[#This Row],[codigo_producto]])-1)</f>
        <v>3</v>
      </c>
      <c r="M47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74" spans="1:13" x14ac:dyDescent="0.25">
      <c r="A474" t="s">
        <v>3294</v>
      </c>
      <c r="B474" t="s">
        <v>2044</v>
      </c>
      <c r="C474" t="s">
        <v>2044</v>
      </c>
      <c r="D474">
        <v>32</v>
      </c>
      <c r="E474">
        <v>7</v>
      </c>
      <c r="F474">
        <v>9</v>
      </c>
      <c r="G474">
        <v>12</v>
      </c>
      <c r="H474" t="s">
        <v>2814</v>
      </c>
      <c r="I47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74" t="s">
        <v>479</v>
      </c>
      <c r="K474" t="str">
        <f>RIGHT(Tabla2[[#This Row],[codigo_producto]],LEN(Tabla2[[#This Row],[codigo_producto]])-FIND("/",Tabla2[[#This Row],[codigo_producto]]))</f>
        <v>410602596R</v>
      </c>
      <c r="L474" t="str">
        <f>LEFT(Tabla2[[#This Row],[codigo_producto]],FIND("/",Tabla2[[#This Row],[codigo_producto]])-1)</f>
        <v>3</v>
      </c>
      <c r="M47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75" spans="1:13" x14ac:dyDescent="0.25">
      <c r="A475" t="s">
        <v>3295</v>
      </c>
      <c r="B475" t="s">
        <v>2045</v>
      </c>
      <c r="C475" t="s">
        <v>2045</v>
      </c>
      <c r="D475">
        <v>32</v>
      </c>
      <c r="E475">
        <v>7</v>
      </c>
      <c r="F475">
        <v>9</v>
      </c>
      <c r="G475">
        <v>12</v>
      </c>
      <c r="H475" t="s">
        <v>2814</v>
      </c>
      <c r="I47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75" t="s">
        <v>480</v>
      </c>
      <c r="K475" t="str">
        <f>RIGHT(Tabla2[[#This Row],[codigo_producto]],LEN(Tabla2[[#This Row],[codigo_producto]])-FIND("/",Tabla2[[#This Row],[codigo_producto]]))</f>
        <v>410602889R</v>
      </c>
      <c r="L475" t="str">
        <f>LEFT(Tabla2[[#This Row],[codigo_producto]],FIND("/",Tabla2[[#This Row],[codigo_producto]])-1)</f>
        <v>3</v>
      </c>
      <c r="M47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76" spans="1:13" x14ac:dyDescent="0.25">
      <c r="A476" t="s">
        <v>3296</v>
      </c>
      <c r="B476" t="s">
        <v>1828</v>
      </c>
      <c r="C476" t="s">
        <v>1828</v>
      </c>
      <c r="D476">
        <v>32</v>
      </c>
      <c r="E476">
        <v>7</v>
      </c>
      <c r="F476">
        <v>9</v>
      </c>
      <c r="G476">
        <v>12</v>
      </c>
      <c r="H476" t="s">
        <v>2814</v>
      </c>
      <c r="I47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76" t="s">
        <v>481</v>
      </c>
      <c r="K476" t="str">
        <f>RIGHT(Tabla2[[#This Row],[codigo_producto]],LEN(Tabla2[[#This Row],[codigo_producto]])-FIND("/",Tabla2[[#This Row],[codigo_producto]]))</f>
        <v>410603072R</v>
      </c>
      <c r="L476" t="str">
        <f>LEFT(Tabla2[[#This Row],[codigo_producto]],FIND("/",Tabla2[[#This Row],[codigo_producto]])-1)</f>
        <v>3</v>
      </c>
      <c r="M47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77" spans="1:13" x14ac:dyDescent="0.25">
      <c r="A477" t="s">
        <v>3297</v>
      </c>
      <c r="B477" t="s">
        <v>2044</v>
      </c>
      <c r="C477" t="s">
        <v>2044</v>
      </c>
      <c r="D477">
        <v>32</v>
      </c>
      <c r="E477">
        <v>7</v>
      </c>
      <c r="F477">
        <v>9</v>
      </c>
      <c r="G477">
        <v>12</v>
      </c>
      <c r="H477" t="s">
        <v>2814</v>
      </c>
      <c r="I47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77" t="s">
        <v>482</v>
      </c>
      <c r="K477" t="str">
        <f>RIGHT(Tabla2[[#This Row],[codigo_producto]],LEN(Tabla2[[#This Row],[codigo_producto]])-FIND("/",Tabla2[[#This Row],[codigo_producto]]))</f>
        <v>410604979R</v>
      </c>
      <c r="L477" t="str">
        <f>LEFT(Tabla2[[#This Row],[codigo_producto]],FIND("/",Tabla2[[#This Row],[codigo_producto]])-1)</f>
        <v>3</v>
      </c>
      <c r="M47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78" spans="1:13" x14ac:dyDescent="0.25">
      <c r="A478" t="s">
        <v>3298</v>
      </c>
      <c r="B478" t="s">
        <v>2046</v>
      </c>
      <c r="C478" t="s">
        <v>2046</v>
      </c>
      <c r="D478">
        <v>32</v>
      </c>
      <c r="E478">
        <v>7</v>
      </c>
      <c r="F478">
        <v>9</v>
      </c>
      <c r="G478">
        <v>12</v>
      </c>
      <c r="H478" t="s">
        <v>2814</v>
      </c>
      <c r="I47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78" t="s">
        <v>483</v>
      </c>
      <c r="K478" t="str">
        <f>RIGHT(Tabla2[[#This Row],[codigo_producto]],LEN(Tabla2[[#This Row],[codigo_producto]])-FIND("/",Tabla2[[#This Row],[codigo_producto]]))</f>
        <v>410606820R</v>
      </c>
      <c r="L478" t="str">
        <f>LEFT(Tabla2[[#This Row],[codigo_producto]],FIND("/",Tabla2[[#This Row],[codigo_producto]])-1)</f>
        <v>3</v>
      </c>
      <c r="M47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79" spans="1:13" x14ac:dyDescent="0.25">
      <c r="A479" t="s">
        <v>3299</v>
      </c>
      <c r="B479" t="s">
        <v>1831</v>
      </c>
      <c r="C479" t="s">
        <v>1831</v>
      </c>
      <c r="D479">
        <v>32</v>
      </c>
      <c r="E479">
        <v>7</v>
      </c>
      <c r="F479">
        <v>9</v>
      </c>
      <c r="G479">
        <v>12</v>
      </c>
      <c r="H479" t="s">
        <v>2814</v>
      </c>
      <c r="I47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79" t="s">
        <v>484</v>
      </c>
      <c r="K479" t="str">
        <f>RIGHT(Tabla2[[#This Row],[codigo_producto]],LEN(Tabla2[[#This Row],[codigo_producto]])-FIND("/",Tabla2[[#This Row],[codigo_producto]]))</f>
        <v>410608481R</v>
      </c>
      <c r="L479" t="str">
        <f>LEFT(Tabla2[[#This Row],[codigo_producto]],FIND("/",Tabla2[[#This Row],[codigo_producto]])-1)</f>
        <v>3</v>
      </c>
      <c r="M47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80" spans="1:13" x14ac:dyDescent="0.25">
      <c r="A480" t="s">
        <v>3300</v>
      </c>
      <c r="B480" t="s">
        <v>2047</v>
      </c>
      <c r="C480" t="s">
        <v>2047</v>
      </c>
      <c r="D480">
        <v>32</v>
      </c>
      <c r="E480">
        <v>7</v>
      </c>
      <c r="F480">
        <v>9</v>
      </c>
      <c r="G480">
        <v>12</v>
      </c>
      <c r="H480" t="s">
        <v>2814</v>
      </c>
      <c r="I48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80" t="s">
        <v>485</v>
      </c>
      <c r="K480" t="str">
        <f>RIGHT(Tabla2[[#This Row],[codigo_producto]],LEN(Tabla2[[#This Row],[codigo_producto]])-FIND("/",Tabla2[[#This Row],[codigo_producto]]))</f>
        <v>440604591R</v>
      </c>
      <c r="L480" t="str">
        <f>LEFT(Tabla2[[#This Row],[codigo_producto]],FIND("/",Tabla2[[#This Row],[codigo_producto]])-1)</f>
        <v>3</v>
      </c>
      <c r="M48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81" spans="1:13" x14ac:dyDescent="0.25">
      <c r="A481" t="s">
        <v>3301</v>
      </c>
      <c r="B481" t="s">
        <v>2048</v>
      </c>
      <c r="C481" t="s">
        <v>2048</v>
      </c>
      <c r="D481">
        <v>32</v>
      </c>
      <c r="E481">
        <v>7</v>
      </c>
      <c r="F481">
        <v>9</v>
      </c>
      <c r="G481">
        <v>12</v>
      </c>
      <c r="H481" t="s">
        <v>2814</v>
      </c>
      <c r="I48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81" t="s">
        <v>486</v>
      </c>
      <c r="K481" t="str">
        <f>RIGHT(Tabla2[[#This Row],[codigo_producto]],LEN(Tabla2[[#This Row],[codigo_producto]])-FIND("/",Tabla2[[#This Row],[codigo_producto]]))</f>
        <v>440605238R</v>
      </c>
      <c r="L481" t="str">
        <f>LEFT(Tabla2[[#This Row],[codigo_producto]],FIND("/",Tabla2[[#This Row],[codigo_producto]])-1)</f>
        <v>3</v>
      </c>
      <c r="M48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82" spans="1:13" x14ac:dyDescent="0.25">
      <c r="A482" t="s">
        <v>3302</v>
      </c>
      <c r="B482" t="s">
        <v>2049</v>
      </c>
      <c r="C482" t="s">
        <v>2049</v>
      </c>
      <c r="D482">
        <v>32</v>
      </c>
      <c r="E482">
        <v>7</v>
      </c>
      <c r="F482">
        <v>9</v>
      </c>
      <c r="G482">
        <v>12</v>
      </c>
      <c r="H482" t="s">
        <v>2814</v>
      </c>
      <c r="I48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82" t="s">
        <v>487</v>
      </c>
      <c r="K482" t="str">
        <f>RIGHT(Tabla2[[#This Row],[codigo_producto]],LEN(Tabla2[[#This Row],[codigo_producto]])-FIND("/",Tabla2[[#This Row],[codigo_producto]]))</f>
        <v>497218897R</v>
      </c>
      <c r="L482" t="str">
        <f>LEFT(Tabla2[[#This Row],[codigo_producto]],FIND("/",Tabla2[[#This Row],[codigo_producto]])-1)</f>
        <v>3</v>
      </c>
      <c r="M48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83" spans="1:13" x14ac:dyDescent="0.25">
      <c r="A483" t="s">
        <v>3303</v>
      </c>
      <c r="B483" t="s">
        <v>2050</v>
      </c>
      <c r="C483" t="s">
        <v>2050</v>
      </c>
      <c r="D483">
        <v>32</v>
      </c>
      <c r="E483">
        <v>7</v>
      </c>
      <c r="F483">
        <v>9</v>
      </c>
      <c r="G483">
        <v>12</v>
      </c>
      <c r="H483" t="s">
        <v>2814</v>
      </c>
      <c r="I48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83" t="s">
        <v>488</v>
      </c>
      <c r="K483" t="str">
        <f>RIGHT(Tabla2[[#This Row],[codigo_producto]],LEN(Tabla2[[#This Row],[codigo_producto]])-FIND("/",Tabla2[[#This Row],[codigo_producto]]))</f>
        <v>497506724R</v>
      </c>
      <c r="L483" t="str">
        <f>LEFT(Tabla2[[#This Row],[codigo_producto]],FIND("/",Tabla2[[#This Row],[codigo_producto]])-1)</f>
        <v>3</v>
      </c>
      <c r="M48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84" spans="1:13" x14ac:dyDescent="0.25">
      <c r="A484" t="s">
        <v>3304</v>
      </c>
      <c r="B484" t="s">
        <v>1826</v>
      </c>
      <c r="C484" t="s">
        <v>1826</v>
      </c>
      <c r="D484">
        <v>32</v>
      </c>
      <c r="E484">
        <v>7</v>
      </c>
      <c r="F484">
        <v>9</v>
      </c>
      <c r="G484">
        <v>12</v>
      </c>
      <c r="H484" t="s">
        <v>2814</v>
      </c>
      <c r="I48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84" t="s">
        <v>489</v>
      </c>
      <c r="K484" t="str">
        <f>RIGHT(Tabla2[[#This Row],[codigo_producto]],LEN(Tabla2[[#This Row],[codigo_producto]])-FIND("/",Tabla2[[#This Row],[codigo_producto]]))</f>
        <v>543027236R</v>
      </c>
      <c r="L484" t="str">
        <f>LEFT(Tabla2[[#This Row],[codigo_producto]],FIND("/",Tabla2[[#This Row],[codigo_producto]])-1)</f>
        <v>3</v>
      </c>
      <c r="M48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85" spans="1:13" x14ac:dyDescent="0.25">
      <c r="A485" t="s">
        <v>3305</v>
      </c>
      <c r="B485" t="s">
        <v>2051</v>
      </c>
      <c r="C485" t="s">
        <v>2051</v>
      </c>
      <c r="D485">
        <v>32</v>
      </c>
      <c r="E485">
        <v>7</v>
      </c>
      <c r="F485">
        <v>9</v>
      </c>
      <c r="G485">
        <v>12</v>
      </c>
      <c r="H485" t="s">
        <v>2814</v>
      </c>
      <c r="I48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85" t="s">
        <v>490</v>
      </c>
      <c r="K485" t="str">
        <f>RIGHT(Tabla2[[#This Row],[codigo_producto]],LEN(Tabla2[[#This Row],[codigo_producto]])-FIND("/",Tabla2[[#This Row],[codigo_producto]]))</f>
        <v>543028126R</v>
      </c>
      <c r="L485" t="str">
        <f>LEFT(Tabla2[[#This Row],[codigo_producto]],FIND("/",Tabla2[[#This Row],[codigo_producto]])-1)</f>
        <v>3</v>
      </c>
      <c r="M48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86" spans="1:13" x14ac:dyDescent="0.25">
      <c r="A486" t="s">
        <v>3306</v>
      </c>
      <c r="B486" t="s">
        <v>1826</v>
      </c>
      <c r="C486" t="s">
        <v>1826</v>
      </c>
      <c r="D486">
        <v>32</v>
      </c>
      <c r="E486">
        <v>7</v>
      </c>
      <c r="F486">
        <v>9</v>
      </c>
      <c r="G486">
        <v>12</v>
      </c>
      <c r="H486" t="s">
        <v>2814</v>
      </c>
      <c r="I48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86" t="s">
        <v>491</v>
      </c>
      <c r="K486" t="str">
        <f>RIGHT(Tabla2[[#This Row],[codigo_producto]],LEN(Tabla2[[#This Row],[codigo_producto]])-FIND("/",Tabla2[[#This Row],[codigo_producto]]))</f>
        <v>543029110R</v>
      </c>
      <c r="L486" t="str">
        <f>LEFT(Tabla2[[#This Row],[codigo_producto]],FIND("/",Tabla2[[#This Row],[codigo_producto]])-1)</f>
        <v>3</v>
      </c>
      <c r="M48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87" spans="1:13" x14ac:dyDescent="0.25">
      <c r="A487" t="s">
        <v>3307</v>
      </c>
      <c r="B487" t="s">
        <v>1823</v>
      </c>
      <c r="C487" t="s">
        <v>1823</v>
      </c>
      <c r="D487">
        <v>32</v>
      </c>
      <c r="E487">
        <v>7</v>
      </c>
      <c r="F487">
        <v>9</v>
      </c>
      <c r="G487">
        <v>12</v>
      </c>
      <c r="H487" t="s">
        <v>2814</v>
      </c>
      <c r="I48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87" t="s">
        <v>492</v>
      </c>
      <c r="K487" t="str">
        <f>RIGHT(Tabla2[[#This Row],[codigo_producto]],LEN(Tabla2[[#This Row],[codigo_producto]])-FIND("/",Tabla2[[#This Row],[codigo_producto]]))</f>
        <v>562100449R</v>
      </c>
      <c r="L487" t="str">
        <f>LEFT(Tabla2[[#This Row],[codigo_producto]],FIND("/",Tabla2[[#This Row],[codigo_producto]])-1)</f>
        <v>3</v>
      </c>
      <c r="M48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88" spans="1:13" x14ac:dyDescent="0.25">
      <c r="A488" t="s">
        <v>3308</v>
      </c>
      <c r="B488" t="s">
        <v>2052</v>
      </c>
      <c r="C488" t="s">
        <v>2052</v>
      </c>
      <c r="D488">
        <v>32</v>
      </c>
      <c r="E488">
        <v>7</v>
      </c>
      <c r="F488">
        <v>9</v>
      </c>
      <c r="G488">
        <v>12</v>
      </c>
      <c r="H488" t="s">
        <v>2814</v>
      </c>
      <c r="I48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88" t="s">
        <v>493</v>
      </c>
      <c r="K488" t="str">
        <f>RIGHT(Tabla2[[#This Row],[codigo_producto]],LEN(Tabla2[[#This Row],[codigo_producto]])-FIND("/",Tabla2[[#This Row],[codigo_producto]]))</f>
        <v>562105043R</v>
      </c>
      <c r="L488" t="str">
        <f>LEFT(Tabla2[[#This Row],[codigo_producto]],FIND("/",Tabla2[[#This Row],[codigo_producto]])-1)</f>
        <v>3</v>
      </c>
      <c r="M48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89" spans="1:13" x14ac:dyDescent="0.25">
      <c r="A489" t="s">
        <v>3309</v>
      </c>
      <c r="B489" t="s">
        <v>2053</v>
      </c>
      <c r="C489" t="s">
        <v>2053</v>
      </c>
      <c r="D489">
        <v>32</v>
      </c>
      <c r="E489">
        <v>7</v>
      </c>
      <c r="F489">
        <v>9</v>
      </c>
      <c r="G489">
        <v>12</v>
      </c>
      <c r="H489" t="s">
        <v>2814</v>
      </c>
      <c r="I48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89" t="s">
        <v>494</v>
      </c>
      <c r="K489" t="str">
        <f>RIGHT(Tabla2[[#This Row],[codigo_producto]],LEN(Tabla2[[#This Row],[codigo_producto]])-FIND("/",Tabla2[[#This Row],[codigo_producto]]))</f>
        <v>562109279R</v>
      </c>
      <c r="L489" t="str">
        <f>LEFT(Tabla2[[#This Row],[codigo_producto]],FIND("/",Tabla2[[#This Row],[codigo_producto]])-1)</f>
        <v>3</v>
      </c>
      <c r="M48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90" spans="1:13" x14ac:dyDescent="0.25">
      <c r="A490" t="s">
        <v>3310</v>
      </c>
      <c r="B490" t="s">
        <v>2054</v>
      </c>
      <c r="C490" t="s">
        <v>2054</v>
      </c>
      <c r="D490">
        <v>32</v>
      </c>
      <c r="E490">
        <v>7</v>
      </c>
      <c r="F490">
        <v>9</v>
      </c>
      <c r="G490">
        <v>12</v>
      </c>
      <c r="H490" t="s">
        <v>2814</v>
      </c>
      <c r="I49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90" t="s">
        <v>495</v>
      </c>
      <c r="K490" t="str">
        <f>RIGHT(Tabla2[[#This Row],[codigo_producto]],LEN(Tabla2[[#This Row],[codigo_producto]])-FIND("/",Tabla2[[#This Row],[codigo_producto]]))</f>
        <v>620876120R</v>
      </c>
      <c r="L490" t="str">
        <f>LEFT(Tabla2[[#This Row],[codigo_producto]],FIND("/",Tabla2[[#This Row],[codigo_producto]])-1)</f>
        <v>3</v>
      </c>
      <c r="M49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91" spans="1:13" x14ac:dyDescent="0.25">
      <c r="A491" t="s">
        <v>3311</v>
      </c>
      <c r="B491" t="s">
        <v>2055</v>
      </c>
      <c r="C491" t="s">
        <v>2055</v>
      </c>
      <c r="D491">
        <v>32</v>
      </c>
      <c r="E491">
        <v>7</v>
      </c>
      <c r="F491">
        <v>9</v>
      </c>
      <c r="G491">
        <v>12</v>
      </c>
      <c r="H491" t="s">
        <v>2814</v>
      </c>
      <c r="I49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91" t="s">
        <v>496</v>
      </c>
      <c r="K491" t="str">
        <f>RIGHT(Tabla2[[#This Row],[codigo_producto]],LEN(Tabla2[[#This Row],[codigo_producto]])-FIND("/",Tabla2[[#This Row],[codigo_producto]]))</f>
        <v>623100754R</v>
      </c>
      <c r="L491" t="str">
        <f>LEFT(Tabla2[[#This Row],[codigo_producto]],FIND("/",Tabla2[[#This Row],[codigo_producto]])-1)</f>
        <v>3</v>
      </c>
      <c r="M49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92" spans="1:13" x14ac:dyDescent="0.25">
      <c r="A492" t="s">
        <v>3312</v>
      </c>
      <c r="B492" t="s">
        <v>2056</v>
      </c>
      <c r="C492" t="s">
        <v>2056</v>
      </c>
      <c r="D492">
        <v>32</v>
      </c>
      <c r="E492">
        <v>7</v>
      </c>
      <c r="F492">
        <v>9</v>
      </c>
      <c r="G492">
        <v>12</v>
      </c>
      <c r="H492" t="s">
        <v>2814</v>
      </c>
      <c r="I49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92" t="s">
        <v>497</v>
      </c>
      <c r="K492" t="str">
        <f>RIGHT(Tabla2[[#This Row],[codigo_producto]],LEN(Tabla2[[#This Row],[codigo_producto]])-FIND("/",Tabla2[[#This Row],[codigo_producto]]))</f>
        <v>631019761R</v>
      </c>
      <c r="L492" t="str">
        <f>LEFT(Tabla2[[#This Row],[codigo_producto]],FIND("/",Tabla2[[#This Row],[codigo_producto]])-1)</f>
        <v>3</v>
      </c>
      <c r="M49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93" spans="1:13" x14ac:dyDescent="0.25">
      <c r="A493" t="s">
        <v>3313</v>
      </c>
      <c r="B493" t="s">
        <v>2057</v>
      </c>
      <c r="C493" t="s">
        <v>2057</v>
      </c>
      <c r="D493">
        <v>32</v>
      </c>
      <c r="E493">
        <v>7</v>
      </c>
      <c r="F493">
        <v>9</v>
      </c>
      <c r="G493">
        <v>12</v>
      </c>
      <c r="H493" t="s">
        <v>2814</v>
      </c>
      <c r="I49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93" t="s">
        <v>498</v>
      </c>
      <c r="K493" t="str">
        <f>RIGHT(Tabla2[[#This Row],[codigo_producto]],LEN(Tabla2[[#This Row],[codigo_producto]])-FIND("/",Tabla2[[#This Row],[codigo_producto]]))</f>
        <v>638135919R</v>
      </c>
      <c r="L493" t="str">
        <f>LEFT(Tabla2[[#This Row],[codigo_producto]],FIND("/",Tabla2[[#This Row],[codigo_producto]])-1)</f>
        <v>3</v>
      </c>
      <c r="M49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94" spans="1:13" x14ac:dyDescent="0.25">
      <c r="A494" t="s">
        <v>3314</v>
      </c>
      <c r="B494" t="s">
        <v>2058</v>
      </c>
      <c r="C494" t="s">
        <v>2058</v>
      </c>
      <c r="D494">
        <v>32</v>
      </c>
      <c r="E494">
        <v>7</v>
      </c>
      <c r="F494">
        <v>9</v>
      </c>
      <c r="G494">
        <v>12</v>
      </c>
      <c r="H494" t="s">
        <v>2814</v>
      </c>
      <c r="I49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94" t="s">
        <v>499</v>
      </c>
      <c r="K494" t="str">
        <f>RIGHT(Tabla2[[#This Row],[codigo_producto]],LEN(Tabla2[[#This Row],[codigo_producto]])-FIND("/",Tabla2[[#This Row],[codigo_producto]]))</f>
        <v>656019855R</v>
      </c>
      <c r="L494" t="str">
        <f>LEFT(Tabla2[[#This Row],[codigo_producto]],FIND("/",Tabla2[[#This Row],[codigo_producto]])-1)</f>
        <v>3</v>
      </c>
      <c r="M49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95" spans="1:13" x14ac:dyDescent="0.25">
      <c r="A495" t="s">
        <v>3315</v>
      </c>
      <c r="B495" t="s">
        <v>2059</v>
      </c>
      <c r="C495" t="s">
        <v>2059</v>
      </c>
      <c r="D495">
        <v>32</v>
      </c>
      <c r="E495">
        <v>7</v>
      </c>
      <c r="F495">
        <v>9</v>
      </c>
      <c r="G495">
        <v>12</v>
      </c>
      <c r="H495" t="s">
        <v>2814</v>
      </c>
      <c r="I49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95" t="s">
        <v>500</v>
      </c>
      <c r="K495" t="str">
        <f>RIGHT(Tabla2[[#This Row],[codigo_producto]],LEN(Tabla2[[#This Row],[codigo_producto]])-FIND("/",Tabla2[[#This Row],[codigo_producto]]))</f>
        <v>658406210R</v>
      </c>
      <c r="L495" t="str">
        <f>LEFT(Tabla2[[#This Row],[codigo_producto]],FIND("/",Tabla2[[#This Row],[codigo_producto]])-1)</f>
        <v>3</v>
      </c>
      <c r="M49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96" spans="1:13" x14ac:dyDescent="0.25">
      <c r="A496" t="s">
        <v>3316</v>
      </c>
      <c r="B496" t="s">
        <v>1968</v>
      </c>
      <c r="C496" t="s">
        <v>1968</v>
      </c>
      <c r="D496">
        <v>32</v>
      </c>
      <c r="E496">
        <v>7</v>
      </c>
      <c r="F496">
        <v>9</v>
      </c>
      <c r="G496">
        <v>12</v>
      </c>
      <c r="H496" t="s">
        <v>2814</v>
      </c>
      <c r="I49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96" t="s">
        <v>501</v>
      </c>
      <c r="K496" t="str">
        <f>RIGHT(Tabla2[[#This Row],[codigo_producto]],LEN(Tabla2[[#This Row],[codigo_producto]])-FIND("/",Tabla2[[#This Row],[codigo_producto]]))</f>
        <v>764362537R</v>
      </c>
      <c r="L496" t="str">
        <f>LEFT(Tabla2[[#This Row],[codigo_producto]],FIND("/",Tabla2[[#This Row],[codigo_producto]])-1)</f>
        <v>3</v>
      </c>
      <c r="M49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97" spans="1:13" x14ac:dyDescent="0.25">
      <c r="A497" t="s">
        <v>3317</v>
      </c>
      <c r="B497" t="s">
        <v>2060</v>
      </c>
      <c r="C497" t="s">
        <v>2060</v>
      </c>
      <c r="D497">
        <v>32</v>
      </c>
      <c r="E497">
        <v>7</v>
      </c>
      <c r="F497">
        <v>9</v>
      </c>
      <c r="G497">
        <v>12</v>
      </c>
      <c r="H497" t="s">
        <v>2814</v>
      </c>
      <c r="I49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97" t="s">
        <v>502</v>
      </c>
      <c r="K497" t="str">
        <f>RIGHT(Tabla2[[#This Row],[codigo_producto]],LEN(Tabla2[[#This Row],[codigo_producto]])-FIND("/",Tabla2[[#This Row],[codigo_producto]]))</f>
        <v>7700103245</v>
      </c>
      <c r="L497" t="str">
        <f>LEFT(Tabla2[[#This Row],[codigo_producto]],FIND("/",Tabla2[[#This Row],[codigo_producto]])-1)</f>
        <v>3</v>
      </c>
      <c r="M49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98" spans="1:13" x14ac:dyDescent="0.25">
      <c r="A498" t="s">
        <v>3318</v>
      </c>
      <c r="B498" t="s">
        <v>2061</v>
      </c>
      <c r="C498" t="s">
        <v>2061</v>
      </c>
      <c r="D498">
        <v>32</v>
      </c>
      <c r="E498">
        <v>7</v>
      </c>
      <c r="F498">
        <v>9</v>
      </c>
      <c r="G498">
        <v>12</v>
      </c>
      <c r="H498" t="s">
        <v>2814</v>
      </c>
      <c r="I49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98" t="s">
        <v>503</v>
      </c>
      <c r="K498" t="str">
        <f>RIGHT(Tabla2[[#This Row],[codigo_producto]],LEN(Tabla2[[#This Row],[codigo_producto]])-FIND("/",Tabla2[[#This Row],[codigo_producto]]))</f>
        <v>7700106271</v>
      </c>
      <c r="L498" t="str">
        <f>LEFT(Tabla2[[#This Row],[codigo_producto]],FIND("/",Tabla2[[#This Row],[codigo_producto]])-1)</f>
        <v>3</v>
      </c>
      <c r="M49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99" spans="1:13" x14ac:dyDescent="0.25">
      <c r="A499" t="s">
        <v>3319</v>
      </c>
      <c r="B499" t="s">
        <v>2062</v>
      </c>
      <c r="C499" t="s">
        <v>2062</v>
      </c>
      <c r="D499">
        <v>32</v>
      </c>
      <c r="E499">
        <v>7</v>
      </c>
      <c r="F499">
        <v>9</v>
      </c>
      <c r="G499">
        <v>12</v>
      </c>
      <c r="H499" t="s">
        <v>2814</v>
      </c>
      <c r="I49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99" t="s">
        <v>504</v>
      </c>
      <c r="K499" t="str">
        <f>RIGHT(Tabla2[[#This Row],[codigo_producto]],LEN(Tabla2[[#This Row],[codigo_producto]])-FIND("/",Tabla2[[#This Row],[codigo_producto]]))</f>
        <v>7700106385</v>
      </c>
      <c r="L499" t="str">
        <f>LEFT(Tabla2[[#This Row],[codigo_producto]],FIND("/",Tabla2[[#This Row],[codigo_producto]])-1)</f>
        <v>3</v>
      </c>
      <c r="M49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500" spans="1:13" x14ac:dyDescent="0.25">
      <c r="A500" t="s">
        <v>3320</v>
      </c>
      <c r="B500" t="s">
        <v>2061</v>
      </c>
      <c r="C500" t="s">
        <v>2061</v>
      </c>
      <c r="D500">
        <v>32</v>
      </c>
      <c r="E500">
        <v>7</v>
      </c>
      <c r="F500">
        <v>9</v>
      </c>
      <c r="G500">
        <v>12</v>
      </c>
      <c r="H500" t="s">
        <v>2814</v>
      </c>
      <c r="I50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00" t="s">
        <v>505</v>
      </c>
      <c r="K500" t="str">
        <f>RIGHT(Tabla2[[#This Row],[codigo_producto]],LEN(Tabla2[[#This Row],[codigo_producto]])-FIND("/",Tabla2[[#This Row],[codigo_producto]]))</f>
        <v>7700274026</v>
      </c>
      <c r="L500" t="str">
        <f>LEFT(Tabla2[[#This Row],[codigo_producto]],FIND("/",Tabla2[[#This Row],[codigo_producto]])-1)</f>
        <v>3</v>
      </c>
      <c r="M50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501" spans="1:13" x14ac:dyDescent="0.25">
      <c r="A501" t="s">
        <v>3321</v>
      </c>
      <c r="B501" t="s">
        <v>1839</v>
      </c>
      <c r="C501" t="s">
        <v>1839</v>
      </c>
      <c r="D501">
        <v>32</v>
      </c>
      <c r="E501">
        <v>7</v>
      </c>
      <c r="F501">
        <v>9</v>
      </c>
      <c r="G501">
        <v>12</v>
      </c>
      <c r="H501" t="s">
        <v>2814</v>
      </c>
      <c r="I50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01" t="s">
        <v>506</v>
      </c>
      <c r="K501" t="str">
        <f>RIGHT(Tabla2[[#This Row],[codigo_producto]],LEN(Tabla2[[#This Row],[codigo_producto]])-FIND("/",Tabla2[[#This Row],[codigo_producto]]))</f>
        <v>7700500155</v>
      </c>
      <c r="L501" t="str">
        <f>LEFT(Tabla2[[#This Row],[codigo_producto]],FIND("/",Tabla2[[#This Row],[codigo_producto]])-1)</f>
        <v>3</v>
      </c>
      <c r="M50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502" spans="1:13" x14ac:dyDescent="0.25">
      <c r="A502" t="s">
        <v>3322</v>
      </c>
      <c r="B502" t="s">
        <v>1839</v>
      </c>
      <c r="C502" t="s">
        <v>1839</v>
      </c>
      <c r="D502">
        <v>32</v>
      </c>
      <c r="E502">
        <v>7</v>
      </c>
      <c r="F502">
        <v>9</v>
      </c>
      <c r="G502">
        <v>12</v>
      </c>
      <c r="H502" t="s">
        <v>2814</v>
      </c>
      <c r="I50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02" t="s">
        <v>507</v>
      </c>
      <c r="K502" t="str">
        <f>RIGHT(Tabla2[[#This Row],[codigo_producto]],LEN(Tabla2[[#This Row],[codigo_producto]])-FIND("/",Tabla2[[#This Row],[codigo_producto]]))</f>
        <v>7700500168</v>
      </c>
      <c r="L502" t="str">
        <f>LEFT(Tabla2[[#This Row],[codigo_producto]],FIND("/",Tabla2[[#This Row],[codigo_producto]])-1)</f>
        <v>3</v>
      </c>
      <c r="M50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503" spans="1:13" x14ac:dyDescent="0.25">
      <c r="A503" t="s">
        <v>3323</v>
      </c>
      <c r="B503" t="s">
        <v>1715</v>
      </c>
      <c r="C503" t="s">
        <v>1715</v>
      </c>
      <c r="D503">
        <v>32</v>
      </c>
      <c r="E503">
        <v>7</v>
      </c>
      <c r="F503">
        <v>9</v>
      </c>
      <c r="G503">
        <v>12</v>
      </c>
      <c r="H503" t="s">
        <v>2814</v>
      </c>
      <c r="I50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03" t="s">
        <v>508</v>
      </c>
      <c r="K503" t="str">
        <f>RIGHT(Tabla2[[#This Row],[codigo_producto]],LEN(Tabla2[[#This Row],[codigo_producto]])-FIND("/",Tabla2[[#This Row],[codigo_producto]]))</f>
        <v>7701069212</v>
      </c>
      <c r="L503" t="str">
        <f>LEFT(Tabla2[[#This Row],[codigo_producto]],FIND("/",Tabla2[[#This Row],[codigo_producto]])-1)</f>
        <v>3</v>
      </c>
      <c r="M50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504" spans="1:13" x14ac:dyDescent="0.25">
      <c r="A504" t="s">
        <v>3324</v>
      </c>
      <c r="B504" t="s">
        <v>2063</v>
      </c>
      <c r="C504" t="s">
        <v>2063</v>
      </c>
      <c r="D504">
        <v>32</v>
      </c>
      <c r="E504">
        <v>7</v>
      </c>
      <c r="F504">
        <v>9</v>
      </c>
      <c r="G504">
        <v>12</v>
      </c>
      <c r="H504" t="s">
        <v>2814</v>
      </c>
      <c r="I50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04" t="s">
        <v>509</v>
      </c>
      <c r="K504" t="str">
        <f>RIGHT(Tabla2[[#This Row],[codigo_producto]],LEN(Tabla2[[#This Row],[codigo_producto]])-FIND("/",Tabla2[[#This Row],[codigo_producto]]))</f>
        <v>7701210109</v>
      </c>
      <c r="L504" t="str">
        <f>LEFT(Tabla2[[#This Row],[codigo_producto]],FIND("/",Tabla2[[#This Row],[codigo_producto]])-1)</f>
        <v>3</v>
      </c>
      <c r="M50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505" spans="1:13" x14ac:dyDescent="0.25">
      <c r="A505" t="s">
        <v>3325</v>
      </c>
      <c r="B505" t="s">
        <v>2064</v>
      </c>
      <c r="C505" t="s">
        <v>2064</v>
      </c>
      <c r="D505">
        <v>32</v>
      </c>
      <c r="E505">
        <v>7</v>
      </c>
      <c r="F505">
        <v>9</v>
      </c>
      <c r="G505">
        <v>12</v>
      </c>
      <c r="H505" t="s">
        <v>2814</v>
      </c>
      <c r="I50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05" t="s">
        <v>510</v>
      </c>
      <c r="K505" t="str">
        <f>RIGHT(Tabla2[[#This Row],[codigo_producto]],LEN(Tabla2[[#This Row],[codigo_producto]])-FIND("/",Tabla2[[#This Row],[codigo_producto]]))</f>
        <v>7701476645</v>
      </c>
      <c r="L505" t="str">
        <f>LEFT(Tabla2[[#This Row],[codigo_producto]],FIND("/",Tabla2[[#This Row],[codigo_producto]])-1)</f>
        <v>3</v>
      </c>
      <c r="M50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506" spans="1:13" x14ac:dyDescent="0.25">
      <c r="A506" t="s">
        <v>3326</v>
      </c>
      <c r="B506" t="s">
        <v>2025</v>
      </c>
      <c r="C506" t="s">
        <v>2025</v>
      </c>
      <c r="D506">
        <v>32</v>
      </c>
      <c r="E506">
        <v>7</v>
      </c>
      <c r="F506">
        <v>9</v>
      </c>
      <c r="G506">
        <v>12</v>
      </c>
      <c r="H506" t="s">
        <v>2814</v>
      </c>
      <c r="I50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06" t="s">
        <v>511</v>
      </c>
      <c r="K506" t="str">
        <f>RIGHT(Tabla2[[#This Row],[codigo_producto]],LEN(Tabla2[[#This Row],[codigo_producto]])-FIND("/",Tabla2[[#This Row],[codigo_producto]]))</f>
        <v>7701477024</v>
      </c>
      <c r="L506" t="str">
        <f>LEFT(Tabla2[[#This Row],[codigo_producto]],FIND("/",Tabla2[[#This Row],[codigo_producto]])-1)</f>
        <v>3</v>
      </c>
      <c r="M50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507" spans="1:13" x14ac:dyDescent="0.25">
      <c r="A507" t="s">
        <v>3327</v>
      </c>
      <c r="B507" t="s">
        <v>2065</v>
      </c>
      <c r="C507" t="s">
        <v>2065</v>
      </c>
      <c r="D507">
        <v>32</v>
      </c>
      <c r="E507">
        <v>7</v>
      </c>
      <c r="F507">
        <v>9</v>
      </c>
      <c r="G507">
        <v>12</v>
      </c>
      <c r="H507" t="s">
        <v>2814</v>
      </c>
      <c r="I50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07" t="s">
        <v>512</v>
      </c>
      <c r="K507" t="str">
        <f>RIGHT(Tabla2[[#This Row],[codigo_producto]],LEN(Tabla2[[#This Row],[codigo_producto]])-FIND("/",Tabla2[[#This Row],[codigo_producto]]))</f>
        <v>7703002949</v>
      </c>
      <c r="L507" t="str">
        <f>LEFT(Tabla2[[#This Row],[codigo_producto]],FIND("/",Tabla2[[#This Row],[codigo_producto]])-1)</f>
        <v>3</v>
      </c>
      <c r="M50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508" spans="1:13" x14ac:dyDescent="0.25">
      <c r="A508" t="s">
        <v>3328</v>
      </c>
      <c r="B508" t="s">
        <v>2066</v>
      </c>
      <c r="C508" t="s">
        <v>2066</v>
      </c>
      <c r="D508">
        <v>32</v>
      </c>
      <c r="E508">
        <v>7</v>
      </c>
      <c r="F508">
        <v>9</v>
      </c>
      <c r="G508">
        <v>12</v>
      </c>
      <c r="H508" t="s">
        <v>2814</v>
      </c>
      <c r="I50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08" t="s">
        <v>513</v>
      </c>
      <c r="K508" t="str">
        <f>RIGHT(Tabla2[[#This Row],[codigo_producto]],LEN(Tabla2[[#This Row],[codigo_producto]])-FIND("/",Tabla2[[#This Row],[codigo_producto]]))</f>
        <v>7703034250</v>
      </c>
      <c r="L508" t="str">
        <f>LEFT(Tabla2[[#This Row],[codigo_producto]],FIND("/",Tabla2[[#This Row],[codigo_producto]])-1)</f>
        <v>3</v>
      </c>
      <c r="M50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509" spans="1:13" x14ac:dyDescent="0.25">
      <c r="A509" t="s">
        <v>3329</v>
      </c>
      <c r="B509" t="s">
        <v>2067</v>
      </c>
      <c r="C509" t="s">
        <v>2067</v>
      </c>
      <c r="D509">
        <v>32</v>
      </c>
      <c r="E509">
        <v>7</v>
      </c>
      <c r="F509">
        <v>9</v>
      </c>
      <c r="G509">
        <v>12</v>
      </c>
      <c r="H509" t="s">
        <v>2814</v>
      </c>
      <c r="I50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09" t="s">
        <v>514</v>
      </c>
      <c r="K509" t="str">
        <f>RIGHT(Tabla2[[#This Row],[codigo_producto]],LEN(Tabla2[[#This Row],[codigo_producto]])-FIND("/",Tabla2[[#This Row],[codigo_producto]]))</f>
        <v>7703083469</v>
      </c>
      <c r="L509" t="str">
        <f>LEFT(Tabla2[[#This Row],[codigo_producto]],FIND("/",Tabla2[[#This Row],[codigo_producto]])-1)</f>
        <v>3</v>
      </c>
      <c r="M50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510" spans="1:13" x14ac:dyDescent="0.25">
      <c r="A510" t="s">
        <v>3330</v>
      </c>
      <c r="B510" t="s">
        <v>1712</v>
      </c>
      <c r="C510" t="s">
        <v>1712</v>
      </c>
      <c r="D510">
        <v>32</v>
      </c>
      <c r="E510">
        <v>7</v>
      </c>
      <c r="F510">
        <v>9</v>
      </c>
      <c r="G510">
        <v>12</v>
      </c>
      <c r="H510" t="s">
        <v>2814</v>
      </c>
      <c r="I51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10" t="s">
        <v>515</v>
      </c>
      <c r="K510" t="str">
        <f>RIGHT(Tabla2[[#This Row],[codigo_producto]],LEN(Tabla2[[#This Row],[codigo_producto]])-FIND("/",Tabla2[[#This Row],[codigo_producto]]))</f>
        <v>7711945906</v>
      </c>
      <c r="L510" t="str">
        <f>LEFT(Tabla2[[#This Row],[codigo_producto]],FIND("/",Tabla2[[#This Row],[codigo_producto]])-1)</f>
        <v>3</v>
      </c>
      <c r="M51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511" spans="1:13" x14ac:dyDescent="0.25">
      <c r="A511" t="s">
        <v>3331</v>
      </c>
      <c r="B511" t="s">
        <v>1821</v>
      </c>
      <c r="C511" t="s">
        <v>1821</v>
      </c>
      <c r="D511">
        <v>32</v>
      </c>
      <c r="E511">
        <v>7</v>
      </c>
      <c r="F511">
        <v>9</v>
      </c>
      <c r="G511">
        <v>12</v>
      </c>
      <c r="H511" t="s">
        <v>2814</v>
      </c>
      <c r="I51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11" t="s">
        <v>516</v>
      </c>
      <c r="K511" t="str">
        <f>RIGHT(Tabla2[[#This Row],[codigo_producto]],LEN(Tabla2[[#This Row],[codigo_producto]])-FIND("/",Tabla2[[#This Row],[codigo_producto]]))</f>
        <v>7711946171</v>
      </c>
      <c r="L511" t="str">
        <f>LEFT(Tabla2[[#This Row],[codigo_producto]],FIND("/",Tabla2[[#This Row],[codigo_producto]])-1)</f>
        <v>3</v>
      </c>
      <c r="M51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512" spans="1:13" x14ac:dyDescent="0.25">
      <c r="A512" t="s">
        <v>3332</v>
      </c>
      <c r="B512" t="s">
        <v>2068</v>
      </c>
      <c r="C512" t="s">
        <v>2068</v>
      </c>
      <c r="D512">
        <v>32</v>
      </c>
      <c r="E512">
        <v>7</v>
      </c>
      <c r="F512">
        <v>9</v>
      </c>
      <c r="G512">
        <v>12</v>
      </c>
      <c r="H512" t="s">
        <v>2814</v>
      </c>
      <c r="I51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12" t="s">
        <v>517</v>
      </c>
      <c r="K512" t="str">
        <f>RIGHT(Tabla2[[#This Row],[codigo_producto]],LEN(Tabla2[[#This Row],[codigo_producto]])-FIND("/",Tabla2[[#This Row],[codigo_producto]]))</f>
        <v>8200052312</v>
      </c>
      <c r="L512" t="str">
        <f>LEFT(Tabla2[[#This Row],[codigo_producto]],FIND("/",Tabla2[[#This Row],[codigo_producto]])-1)</f>
        <v>3</v>
      </c>
      <c r="M51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513" spans="1:13" x14ac:dyDescent="0.25">
      <c r="A513" t="s">
        <v>3333</v>
      </c>
      <c r="B513" t="s">
        <v>2069</v>
      </c>
      <c r="C513" t="s">
        <v>2069</v>
      </c>
      <c r="D513">
        <v>32</v>
      </c>
      <c r="E513">
        <v>7</v>
      </c>
      <c r="F513">
        <v>9</v>
      </c>
      <c r="G513">
        <v>12</v>
      </c>
      <c r="H513" t="s">
        <v>2814</v>
      </c>
      <c r="I51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13" t="s">
        <v>518</v>
      </c>
      <c r="K513" t="str">
        <f>RIGHT(Tabla2[[#This Row],[codigo_producto]],LEN(Tabla2[[#This Row],[codigo_producto]])-FIND("/",Tabla2[[#This Row],[codigo_producto]]))</f>
        <v>8200276360</v>
      </c>
      <c r="L513" t="str">
        <f>LEFT(Tabla2[[#This Row],[codigo_producto]],FIND("/",Tabla2[[#This Row],[codigo_producto]])-1)</f>
        <v>3</v>
      </c>
      <c r="M51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514" spans="1:13" x14ac:dyDescent="0.25">
      <c r="A514" t="s">
        <v>3334</v>
      </c>
      <c r="B514" t="s">
        <v>1827</v>
      </c>
      <c r="C514" t="s">
        <v>1827</v>
      </c>
      <c r="D514">
        <v>32</v>
      </c>
      <c r="E514">
        <v>7</v>
      </c>
      <c r="F514">
        <v>9</v>
      </c>
      <c r="G514">
        <v>12</v>
      </c>
      <c r="H514" t="s">
        <v>2814</v>
      </c>
      <c r="I51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14" t="s">
        <v>519</v>
      </c>
      <c r="K514" t="str">
        <f>RIGHT(Tabla2[[#This Row],[codigo_producto]],LEN(Tabla2[[#This Row],[codigo_producto]])-FIND("/",Tabla2[[#This Row],[codigo_producto]]))</f>
        <v>8200386495</v>
      </c>
      <c r="L514" t="str">
        <f>LEFT(Tabla2[[#This Row],[codigo_producto]],FIND("/",Tabla2[[#This Row],[codigo_producto]])-1)</f>
        <v>3</v>
      </c>
      <c r="M51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515" spans="1:13" x14ac:dyDescent="0.25">
      <c r="A515" t="s">
        <v>3335</v>
      </c>
      <c r="B515" t="s">
        <v>1714</v>
      </c>
      <c r="C515" t="s">
        <v>1714</v>
      </c>
      <c r="D515">
        <v>32</v>
      </c>
      <c r="E515">
        <v>7</v>
      </c>
      <c r="F515">
        <v>9</v>
      </c>
      <c r="G515">
        <v>12</v>
      </c>
      <c r="H515" t="s">
        <v>2814</v>
      </c>
      <c r="I51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15" t="s">
        <v>520</v>
      </c>
      <c r="K515" t="str">
        <f>RIGHT(Tabla2[[#This Row],[codigo_producto]],LEN(Tabla2[[#This Row],[codigo_producto]])-FIND("/",Tabla2[[#This Row],[codigo_producto]]))</f>
        <v>8200431051</v>
      </c>
      <c r="L515" t="str">
        <f>LEFT(Tabla2[[#This Row],[codigo_producto]],FIND("/",Tabla2[[#This Row],[codigo_producto]])-1)</f>
        <v>3</v>
      </c>
      <c r="M51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516" spans="1:13" x14ac:dyDescent="0.25">
      <c r="A516" t="s">
        <v>3336</v>
      </c>
      <c r="B516" t="s">
        <v>2070</v>
      </c>
      <c r="C516" t="s">
        <v>2070</v>
      </c>
      <c r="D516">
        <v>32</v>
      </c>
      <c r="E516">
        <v>7</v>
      </c>
      <c r="F516">
        <v>9</v>
      </c>
      <c r="G516">
        <v>12</v>
      </c>
      <c r="H516" t="s">
        <v>2814</v>
      </c>
      <c r="I51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16" t="s">
        <v>521</v>
      </c>
      <c r="K516" t="str">
        <f>RIGHT(Tabla2[[#This Row],[codigo_producto]],LEN(Tabla2[[#This Row],[codigo_producto]])-FIND("/",Tabla2[[#This Row],[codigo_producto]]))</f>
        <v>8200557644</v>
      </c>
      <c r="L516" t="str">
        <f>LEFT(Tabla2[[#This Row],[codigo_producto]],FIND("/",Tabla2[[#This Row],[codigo_producto]])-1)</f>
        <v>3</v>
      </c>
      <c r="M51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517" spans="1:13" x14ac:dyDescent="0.25">
      <c r="A517" t="s">
        <v>3337</v>
      </c>
      <c r="B517" t="s">
        <v>1803</v>
      </c>
      <c r="C517" t="s">
        <v>1803</v>
      </c>
      <c r="D517">
        <v>32</v>
      </c>
      <c r="E517">
        <v>7</v>
      </c>
      <c r="F517">
        <v>9</v>
      </c>
      <c r="G517">
        <v>12</v>
      </c>
      <c r="H517" t="s">
        <v>2814</v>
      </c>
      <c r="I51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17" t="s">
        <v>522</v>
      </c>
      <c r="K517" t="str">
        <f>RIGHT(Tabla2[[#This Row],[codigo_producto]],LEN(Tabla2[[#This Row],[codigo_producto]])-FIND("/",Tabla2[[#This Row],[codigo_producto]]))</f>
        <v>8200772985</v>
      </c>
      <c r="L517" t="str">
        <f>LEFT(Tabla2[[#This Row],[codigo_producto]],FIND("/",Tabla2[[#This Row],[codigo_producto]])-1)</f>
        <v>3</v>
      </c>
      <c r="M51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518" spans="1:13" x14ac:dyDescent="0.25">
      <c r="A518" t="s">
        <v>3338</v>
      </c>
      <c r="B518" t="s">
        <v>1729</v>
      </c>
      <c r="C518" t="s">
        <v>1729</v>
      </c>
      <c r="D518">
        <v>32</v>
      </c>
      <c r="E518">
        <v>7</v>
      </c>
      <c r="F518">
        <v>9</v>
      </c>
      <c r="G518">
        <v>12</v>
      </c>
      <c r="H518" t="s">
        <v>2814</v>
      </c>
      <c r="I51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18" t="s">
        <v>523</v>
      </c>
      <c r="K518" t="str">
        <f>RIGHT(Tabla2[[#This Row],[codigo_producto]],LEN(Tabla2[[#This Row],[codigo_producto]])-FIND("/",Tabla2[[#This Row],[codigo_producto]]))</f>
        <v>8201153808</v>
      </c>
      <c r="L518" t="str">
        <f>LEFT(Tabla2[[#This Row],[codigo_producto]],FIND("/",Tabla2[[#This Row],[codigo_producto]])-1)</f>
        <v>3</v>
      </c>
      <c r="M51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519" spans="1:13" x14ac:dyDescent="0.25">
      <c r="A519" t="s">
        <v>3339</v>
      </c>
      <c r="B519" t="s">
        <v>2071</v>
      </c>
      <c r="C519" t="s">
        <v>2071</v>
      </c>
      <c r="D519">
        <v>32</v>
      </c>
      <c r="E519">
        <v>7</v>
      </c>
      <c r="F519">
        <v>9</v>
      </c>
      <c r="G519">
        <v>12</v>
      </c>
      <c r="H519" t="s">
        <v>2814</v>
      </c>
      <c r="I51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19" t="s">
        <v>524</v>
      </c>
      <c r="K519" t="str">
        <f>RIGHT(Tabla2[[#This Row],[codigo_producto]],LEN(Tabla2[[#This Row],[codigo_producto]])-FIND("/",Tabla2[[#This Row],[codigo_producto]]))</f>
        <v>8201666465</v>
      </c>
      <c r="L519" t="str">
        <f>LEFT(Tabla2[[#This Row],[codigo_producto]],FIND("/",Tabla2[[#This Row],[codigo_producto]])-1)</f>
        <v>3</v>
      </c>
      <c r="M51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520" spans="1:13" x14ac:dyDescent="0.25">
      <c r="A520" t="s">
        <v>3340</v>
      </c>
      <c r="B520" t="s">
        <v>2072</v>
      </c>
      <c r="C520" t="s">
        <v>2072</v>
      </c>
      <c r="D520">
        <v>32</v>
      </c>
      <c r="E520">
        <v>7</v>
      </c>
      <c r="F520">
        <v>9</v>
      </c>
      <c r="G520">
        <v>12</v>
      </c>
      <c r="H520" t="s">
        <v>2814</v>
      </c>
      <c r="I52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20" t="s">
        <v>525</v>
      </c>
      <c r="K520" t="str">
        <f>RIGHT(Tabla2[[#This Row],[codigo_producto]],LEN(Tabla2[[#This Row],[codigo_producto]])-FIND("/",Tabla2[[#This Row],[codigo_producto]]))</f>
        <v>8201666468</v>
      </c>
      <c r="L520" t="str">
        <f>LEFT(Tabla2[[#This Row],[codigo_producto]],FIND("/",Tabla2[[#This Row],[codigo_producto]])-1)</f>
        <v>3</v>
      </c>
      <c r="M52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521" spans="1:13" x14ac:dyDescent="0.25">
      <c r="A521" t="s">
        <v>3341</v>
      </c>
      <c r="B521" t="s">
        <v>1729</v>
      </c>
      <c r="C521" t="s">
        <v>1729</v>
      </c>
      <c r="D521">
        <v>32</v>
      </c>
      <c r="E521">
        <v>7</v>
      </c>
      <c r="F521">
        <v>9</v>
      </c>
      <c r="G521">
        <v>12</v>
      </c>
      <c r="H521" t="s">
        <v>2814</v>
      </c>
      <c r="I52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21" t="s">
        <v>526</v>
      </c>
      <c r="K521" t="str">
        <f>RIGHT(Tabla2[[#This Row],[codigo_producto]],LEN(Tabla2[[#This Row],[codigo_producto]])-FIND("/",Tabla2[[#This Row],[codigo_producto]]))</f>
        <v>8201676037</v>
      </c>
      <c r="L521" t="str">
        <f>LEFT(Tabla2[[#This Row],[codigo_producto]],FIND("/",Tabla2[[#This Row],[codigo_producto]])-1)</f>
        <v>3</v>
      </c>
      <c r="M52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522" spans="1:13" x14ac:dyDescent="0.25">
      <c r="A522" t="s">
        <v>3342</v>
      </c>
      <c r="B522" t="s">
        <v>2073</v>
      </c>
      <c r="C522" t="s">
        <v>2073</v>
      </c>
      <c r="D522">
        <v>32</v>
      </c>
      <c r="E522">
        <v>7</v>
      </c>
      <c r="F522">
        <v>9</v>
      </c>
      <c r="G522">
        <v>12</v>
      </c>
      <c r="H522" t="s">
        <v>2814</v>
      </c>
      <c r="I52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22" t="s">
        <v>527</v>
      </c>
      <c r="K522" t="str">
        <f>RIGHT(Tabla2[[#This Row],[codigo_producto]],LEN(Tabla2[[#This Row],[codigo_producto]])-FIND("/",Tabla2[[#This Row],[codigo_producto]]))</f>
        <v>850443729R</v>
      </c>
      <c r="L522" t="str">
        <f>LEFT(Tabla2[[#This Row],[codigo_producto]],FIND("/",Tabla2[[#This Row],[codigo_producto]])-1)</f>
        <v>3</v>
      </c>
      <c r="M52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523" spans="1:13" x14ac:dyDescent="0.25">
      <c r="A523" t="s">
        <v>3343</v>
      </c>
      <c r="B523" t="s">
        <v>1793</v>
      </c>
      <c r="C523" t="s">
        <v>1793</v>
      </c>
      <c r="D523">
        <v>32</v>
      </c>
      <c r="E523">
        <v>7</v>
      </c>
      <c r="F523">
        <v>9</v>
      </c>
      <c r="G523">
        <v>12</v>
      </c>
      <c r="H523" t="s">
        <v>2814</v>
      </c>
      <c r="I52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23" t="s">
        <v>528</v>
      </c>
      <c r="K523" t="str">
        <f>RIGHT(Tabla2[[#This Row],[codigo_producto]],LEN(Tabla2[[#This Row],[codigo_producto]])-FIND("/",Tabla2[[#This Row],[codigo_producto]]))</f>
        <v>8550503619</v>
      </c>
      <c r="L523" t="str">
        <f>LEFT(Tabla2[[#This Row],[codigo_producto]],FIND("/",Tabla2[[#This Row],[codigo_producto]])-1)</f>
        <v>3</v>
      </c>
      <c r="M52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524" spans="1:13" x14ac:dyDescent="0.25">
      <c r="A524" t="s">
        <v>3344</v>
      </c>
      <c r="B524" t="s">
        <v>2074</v>
      </c>
      <c r="C524" t="s">
        <v>2074</v>
      </c>
      <c r="D524">
        <v>32</v>
      </c>
      <c r="E524">
        <v>7</v>
      </c>
      <c r="F524">
        <v>9</v>
      </c>
      <c r="G524">
        <v>12</v>
      </c>
      <c r="H524" t="s">
        <v>2814</v>
      </c>
      <c r="I52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24" t="s">
        <v>529</v>
      </c>
      <c r="K524" t="str">
        <f>RIGHT(Tabla2[[#This Row],[codigo_producto]],LEN(Tabla2[[#This Row],[codigo_producto]])-FIND("/",Tabla2[[#This Row],[codigo_producto]]))</f>
        <v>924401309R</v>
      </c>
      <c r="L524" t="str">
        <f>LEFT(Tabla2[[#This Row],[codigo_producto]],FIND("/",Tabla2[[#This Row],[codigo_producto]])-1)</f>
        <v>3</v>
      </c>
      <c r="M52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525" spans="1:13" x14ac:dyDescent="0.25">
      <c r="A525" t="s">
        <v>3345</v>
      </c>
      <c r="B525" t="s">
        <v>2075</v>
      </c>
      <c r="C525" t="s">
        <v>2075</v>
      </c>
      <c r="D525">
        <v>32</v>
      </c>
      <c r="E525">
        <v>7</v>
      </c>
      <c r="F525">
        <v>9</v>
      </c>
      <c r="G525">
        <v>12</v>
      </c>
      <c r="H525" t="s">
        <v>2814</v>
      </c>
      <c r="I52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25" t="s">
        <v>530</v>
      </c>
      <c r="K525" t="str">
        <f>RIGHT(Tabla2[[#This Row],[codigo_producto]],LEN(Tabla2[[#This Row],[codigo_producto]])-FIND("/",Tabla2[[#This Row],[codigo_producto]]))</f>
        <v>990B82370R</v>
      </c>
      <c r="L525" t="str">
        <f>LEFT(Tabla2[[#This Row],[codigo_producto]],FIND("/",Tabla2[[#This Row],[codigo_producto]])-1)</f>
        <v>3</v>
      </c>
      <c r="M52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526" spans="1:13" x14ac:dyDescent="0.25">
      <c r="A526" t="s">
        <v>3346</v>
      </c>
      <c r="B526" t="s">
        <v>2076</v>
      </c>
      <c r="C526" t="s">
        <v>2076</v>
      </c>
      <c r="D526">
        <v>22</v>
      </c>
      <c r="E526">
        <v>7</v>
      </c>
      <c r="F526">
        <v>9</v>
      </c>
      <c r="G526">
        <v>12</v>
      </c>
      <c r="H526" t="s">
        <v>2815</v>
      </c>
      <c r="I52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526" t="s">
        <v>531</v>
      </c>
      <c r="K526" t="str">
        <f>RIGHT(Tabla2[[#This Row],[codigo_producto]],LEN(Tabla2[[#This Row],[codigo_producto]])-FIND("/",Tabla2[[#This Row],[codigo_producto]]))</f>
        <v>KITSEGKWID</v>
      </c>
      <c r="L526" t="str">
        <f>LEFT(Tabla2[[#This Row],[codigo_producto]],FIND("/",Tabla2[[#This Row],[codigo_producto]])-1)</f>
        <v>3</v>
      </c>
      <c r="M52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527" spans="1:13" x14ac:dyDescent="0.25">
      <c r="A527" t="s">
        <v>3347</v>
      </c>
      <c r="B527" t="s">
        <v>2077</v>
      </c>
      <c r="C527" t="s">
        <v>2077</v>
      </c>
      <c r="D527">
        <v>32</v>
      </c>
      <c r="E527">
        <v>3</v>
      </c>
      <c r="F527">
        <v>9</v>
      </c>
      <c r="G527">
        <v>12</v>
      </c>
      <c r="H527" t="s">
        <v>2814</v>
      </c>
      <c r="I52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27" t="s">
        <v>532</v>
      </c>
      <c r="K527" t="str">
        <f>RIGHT(Tabla2[[#This Row],[codigo_producto]],LEN(Tabla2[[#This Row],[codigo_producto]])-FIND("/",Tabla2[[#This Row],[codigo_producto]]))</f>
        <v>1002250E06</v>
      </c>
      <c r="L527" t="str">
        <f>LEFT(Tabla2[[#This Row],[codigo_producto]],FIND("/",Tabla2[[#This Row],[codigo_producto]])-1)</f>
        <v>5</v>
      </c>
      <c r="M52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28" spans="1:13" x14ac:dyDescent="0.25">
      <c r="A528" t="s">
        <v>3348</v>
      </c>
      <c r="B528" t="s">
        <v>2078</v>
      </c>
      <c r="C528" t="s">
        <v>2078</v>
      </c>
      <c r="D528">
        <v>32</v>
      </c>
      <c r="E528">
        <v>3</v>
      </c>
      <c r="F528">
        <v>9</v>
      </c>
      <c r="G528">
        <v>12</v>
      </c>
      <c r="H528" t="s">
        <v>2814</v>
      </c>
      <c r="I52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28" t="s">
        <v>533</v>
      </c>
      <c r="K528" t="str">
        <f>RIGHT(Tabla2[[#This Row],[codigo_producto]],LEN(Tabla2[[#This Row],[codigo_producto]])-FIND("/",Tabla2[[#This Row],[codigo_producto]]))</f>
        <v>1002350E06</v>
      </c>
      <c r="L528" t="str">
        <f>LEFT(Tabla2[[#This Row],[codigo_producto]],FIND("/",Tabla2[[#This Row],[codigo_producto]])-1)</f>
        <v>5</v>
      </c>
      <c r="M52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29" spans="1:13" x14ac:dyDescent="0.25">
      <c r="A529" t="s">
        <v>3349</v>
      </c>
      <c r="B529" t="s">
        <v>2079</v>
      </c>
      <c r="C529" t="s">
        <v>2079</v>
      </c>
      <c r="D529">
        <v>32</v>
      </c>
      <c r="E529">
        <v>3</v>
      </c>
      <c r="F529">
        <v>9</v>
      </c>
      <c r="G529">
        <v>12</v>
      </c>
      <c r="H529" t="s">
        <v>2814</v>
      </c>
      <c r="I52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29" t="s">
        <v>534</v>
      </c>
      <c r="K529" t="str">
        <f>RIGHT(Tabla2[[#This Row],[codigo_producto]],LEN(Tabla2[[#This Row],[codigo_producto]])-FIND("/",Tabla2[[#This Row],[codigo_producto]]))</f>
        <v>1002460E02</v>
      </c>
      <c r="L529" t="str">
        <f>LEFT(Tabla2[[#This Row],[codigo_producto]],FIND("/",Tabla2[[#This Row],[codigo_producto]])-1)</f>
        <v>5</v>
      </c>
      <c r="M52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30" spans="1:13" x14ac:dyDescent="0.25">
      <c r="A530" t="s">
        <v>3350</v>
      </c>
      <c r="B530" t="s">
        <v>2080</v>
      </c>
      <c r="C530" t="s">
        <v>2080</v>
      </c>
      <c r="D530">
        <v>32</v>
      </c>
      <c r="E530">
        <v>3</v>
      </c>
      <c r="F530">
        <v>9</v>
      </c>
      <c r="G530">
        <v>12</v>
      </c>
      <c r="H530" t="s">
        <v>2814</v>
      </c>
      <c r="I53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30" t="s">
        <v>535</v>
      </c>
      <c r="K530" t="str">
        <f>RIGHT(Tabla2[[#This Row],[codigo_producto]],LEN(Tabla2[[#This Row],[codigo_producto]])-FIND("/",Tabla2[[#This Row],[codigo_producto]]))</f>
        <v>1003012E00</v>
      </c>
      <c r="L530" t="str">
        <f>LEFT(Tabla2[[#This Row],[codigo_producto]],FIND("/",Tabla2[[#This Row],[codigo_producto]])-1)</f>
        <v>5</v>
      </c>
      <c r="M53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31" spans="1:13" x14ac:dyDescent="0.25">
      <c r="A531" t="s">
        <v>3351</v>
      </c>
      <c r="B531" t="s">
        <v>2081</v>
      </c>
      <c r="C531" t="s">
        <v>2081</v>
      </c>
      <c r="D531">
        <v>32</v>
      </c>
      <c r="E531">
        <v>3</v>
      </c>
      <c r="F531">
        <v>9</v>
      </c>
      <c r="G531">
        <v>12</v>
      </c>
      <c r="H531" t="s">
        <v>2814</v>
      </c>
      <c r="I53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31" t="s">
        <v>536</v>
      </c>
      <c r="K531" t="str">
        <f>RIGHT(Tabla2[[#This Row],[codigo_producto]],LEN(Tabla2[[#This Row],[codigo_producto]])-FIND("/",Tabla2[[#This Row],[codigo_producto]]))</f>
        <v>1006060E06</v>
      </c>
      <c r="L531" t="str">
        <f>LEFT(Tabla2[[#This Row],[codigo_producto]],FIND("/",Tabla2[[#This Row],[codigo_producto]])-1)</f>
        <v>5</v>
      </c>
      <c r="M53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32" spans="1:13" x14ac:dyDescent="0.25">
      <c r="A532" t="s">
        <v>3352</v>
      </c>
      <c r="B532" t="s">
        <v>1712</v>
      </c>
      <c r="C532" t="s">
        <v>1712</v>
      </c>
      <c r="D532">
        <v>32</v>
      </c>
      <c r="E532">
        <v>3</v>
      </c>
      <c r="F532">
        <v>9</v>
      </c>
      <c r="G532">
        <v>12</v>
      </c>
      <c r="H532" t="s">
        <v>2814</v>
      </c>
      <c r="I53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32" t="s">
        <v>537</v>
      </c>
      <c r="K532" t="str">
        <f>RIGHT(Tabla2[[#This Row],[codigo_producto]],LEN(Tabla2[[#This Row],[codigo_producto]])-FIND("/",Tabla2[[#This Row],[codigo_producto]]))</f>
        <v>1012020E00</v>
      </c>
      <c r="L532" t="str">
        <f>LEFT(Tabla2[[#This Row],[codigo_producto]],FIND("/",Tabla2[[#This Row],[codigo_producto]])-1)</f>
        <v>5</v>
      </c>
      <c r="M53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33" spans="1:13" x14ac:dyDescent="0.25">
      <c r="A533" t="s">
        <v>3353</v>
      </c>
      <c r="B533" t="s">
        <v>2082</v>
      </c>
      <c r="C533" t="s">
        <v>2082</v>
      </c>
      <c r="D533">
        <v>32</v>
      </c>
      <c r="E533">
        <v>3</v>
      </c>
      <c r="F533">
        <v>9</v>
      </c>
      <c r="G533">
        <v>12</v>
      </c>
      <c r="H533" t="s">
        <v>2814</v>
      </c>
      <c r="I53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33" t="s">
        <v>538</v>
      </c>
      <c r="K533" t="str">
        <f>RIGHT(Tabla2[[#This Row],[codigo_producto]],LEN(Tabla2[[#This Row],[codigo_producto]])-FIND("/",Tabla2[[#This Row],[codigo_producto]]))</f>
        <v>1105010D01</v>
      </c>
      <c r="L533" t="str">
        <f>LEFT(Tabla2[[#This Row],[codigo_producto]],FIND("/",Tabla2[[#This Row],[codigo_producto]])-1)</f>
        <v>5</v>
      </c>
      <c r="M53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34" spans="1:13" x14ac:dyDescent="0.25">
      <c r="A534" t="s">
        <v>3354</v>
      </c>
      <c r="B534" t="s">
        <v>2082</v>
      </c>
      <c r="C534" t="s">
        <v>2082</v>
      </c>
      <c r="D534">
        <v>32</v>
      </c>
      <c r="E534">
        <v>3</v>
      </c>
      <c r="F534">
        <v>9</v>
      </c>
      <c r="G534">
        <v>12</v>
      </c>
      <c r="H534" t="s">
        <v>2814</v>
      </c>
      <c r="I53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34" t="s">
        <v>539</v>
      </c>
      <c r="K534" t="str">
        <f>RIGHT(Tabla2[[#This Row],[codigo_producto]],LEN(Tabla2[[#This Row],[codigo_producto]])-FIND("/",Tabla2[[#This Row],[codigo_producto]]))</f>
        <v>1105103P00</v>
      </c>
      <c r="L534" t="str">
        <f>LEFT(Tabla2[[#This Row],[codigo_producto]],FIND("/",Tabla2[[#This Row],[codigo_producto]])-1)</f>
        <v>5</v>
      </c>
      <c r="M53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35" spans="1:13" x14ac:dyDescent="0.25">
      <c r="A535" t="s">
        <v>3355</v>
      </c>
      <c r="B535" t="s">
        <v>2083</v>
      </c>
      <c r="C535" t="s">
        <v>2083</v>
      </c>
      <c r="D535">
        <v>32</v>
      </c>
      <c r="E535">
        <v>3</v>
      </c>
      <c r="F535">
        <v>9</v>
      </c>
      <c r="G535">
        <v>12</v>
      </c>
      <c r="H535" t="s">
        <v>2814</v>
      </c>
      <c r="I53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35" t="s">
        <v>540</v>
      </c>
      <c r="K535" t="str">
        <f>RIGHT(Tabla2[[#This Row],[codigo_producto]],LEN(Tabla2[[#This Row],[codigo_producto]])-FIND("/",Tabla2[[#This Row],[codigo_producto]]))</f>
        <v>1109101S16</v>
      </c>
      <c r="L535" t="str">
        <f>LEFT(Tabla2[[#This Row],[codigo_producto]],FIND("/",Tabla2[[#This Row],[codigo_producto]])-1)</f>
        <v>5</v>
      </c>
      <c r="M53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36" spans="1:13" x14ac:dyDescent="0.25">
      <c r="A536" t="s">
        <v>3356</v>
      </c>
      <c r="B536" t="s">
        <v>2084</v>
      </c>
      <c r="C536" t="s">
        <v>2084</v>
      </c>
      <c r="D536">
        <v>32</v>
      </c>
      <c r="E536">
        <v>3</v>
      </c>
      <c r="F536">
        <v>9</v>
      </c>
      <c r="G536">
        <v>12</v>
      </c>
      <c r="H536" t="s">
        <v>2814</v>
      </c>
      <c r="I53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36" t="s">
        <v>541</v>
      </c>
      <c r="K536" t="str">
        <f>RIGHT(Tabla2[[#This Row],[codigo_producto]],LEN(Tabla2[[#This Row],[codigo_producto]])-FIND("/",Tabla2[[#This Row],[codigo_producto]]))</f>
        <v>1109102K00</v>
      </c>
      <c r="L536" t="str">
        <f>LEFT(Tabla2[[#This Row],[codigo_producto]],FIND("/",Tabla2[[#This Row],[codigo_producto]])-1)</f>
        <v>5</v>
      </c>
      <c r="M53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37" spans="1:13" x14ac:dyDescent="0.25">
      <c r="A537" t="s">
        <v>3357</v>
      </c>
      <c r="B537" t="s">
        <v>2085</v>
      </c>
      <c r="C537" t="s">
        <v>2085</v>
      </c>
      <c r="D537">
        <v>32</v>
      </c>
      <c r="E537">
        <v>3</v>
      </c>
      <c r="F537">
        <v>9</v>
      </c>
      <c r="G537">
        <v>12</v>
      </c>
      <c r="H537" t="s">
        <v>2814</v>
      </c>
      <c r="I53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37" t="s">
        <v>542</v>
      </c>
      <c r="K537" t="str">
        <f>RIGHT(Tabla2[[#This Row],[codigo_producto]],LEN(Tabla2[[#This Row],[codigo_producto]])-FIND("/",Tabla2[[#This Row],[codigo_producto]]))</f>
        <v>1109110P64</v>
      </c>
      <c r="L537" t="str">
        <f>LEFT(Tabla2[[#This Row],[codigo_producto]],FIND("/",Tabla2[[#This Row],[codigo_producto]])-1)</f>
        <v>5</v>
      </c>
      <c r="M53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38" spans="1:13" x14ac:dyDescent="0.25">
      <c r="A538" t="s">
        <v>3358</v>
      </c>
      <c r="B538" t="s">
        <v>1827</v>
      </c>
      <c r="C538" t="s">
        <v>1827</v>
      </c>
      <c r="D538">
        <v>32</v>
      </c>
      <c r="E538">
        <v>3</v>
      </c>
      <c r="F538">
        <v>9</v>
      </c>
      <c r="G538">
        <v>12</v>
      </c>
      <c r="H538" t="s">
        <v>2814</v>
      </c>
      <c r="I53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38" t="s">
        <v>543</v>
      </c>
      <c r="K538" t="str">
        <f>RIGHT(Tabla2[[#This Row],[codigo_producto]],LEN(Tabla2[[#This Row],[codigo_producto]])-FIND("/",Tabla2[[#This Row],[codigo_producto]]))</f>
        <v>1117100V08</v>
      </c>
      <c r="L538" t="str">
        <f>LEFT(Tabla2[[#This Row],[codigo_producto]],FIND("/",Tabla2[[#This Row],[codigo_producto]])-1)</f>
        <v>5</v>
      </c>
      <c r="M53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39" spans="1:13" x14ac:dyDescent="0.25">
      <c r="A539" t="s">
        <v>3359</v>
      </c>
      <c r="B539" t="s">
        <v>1816</v>
      </c>
      <c r="C539" t="s">
        <v>1816</v>
      </c>
      <c r="D539">
        <v>32</v>
      </c>
      <c r="E539">
        <v>3</v>
      </c>
      <c r="F539">
        <v>9</v>
      </c>
      <c r="G539">
        <v>12</v>
      </c>
      <c r="H539" t="s">
        <v>2814</v>
      </c>
      <c r="I53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39" t="s">
        <v>544</v>
      </c>
      <c r="K539" t="str">
        <f>RIGHT(Tabla2[[#This Row],[codigo_producto]],LEN(Tabla2[[#This Row],[codigo_producto]])-FIND("/",Tabla2[[#This Row],[codigo_producto]]))</f>
        <v>1307012E06</v>
      </c>
      <c r="L539" t="str">
        <f>LEFT(Tabla2[[#This Row],[codigo_producto]],FIND("/",Tabla2[[#This Row],[codigo_producto]])-1)</f>
        <v>5</v>
      </c>
      <c r="M53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40" spans="1:13" x14ac:dyDescent="0.25">
      <c r="A540" t="s">
        <v>3360</v>
      </c>
      <c r="B540" t="s">
        <v>2086</v>
      </c>
      <c r="C540" t="s">
        <v>2086</v>
      </c>
      <c r="D540">
        <v>32</v>
      </c>
      <c r="E540">
        <v>3</v>
      </c>
      <c r="F540">
        <v>9</v>
      </c>
      <c r="G540">
        <v>12</v>
      </c>
      <c r="H540" t="s">
        <v>2814</v>
      </c>
      <c r="I54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40" t="s">
        <v>545</v>
      </c>
      <c r="K540" t="str">
        <f>RIGHT(Tabla2[[#This Row],[codigo_producto]],LEN(Tabla2[[#This Row],[codigo_producto]])-FIND("/",Tabla2[[#This Row],[codigo_producto]]))</f>
        <v>1307012E09</v>
      </c>
      <c r="L540" t="str">
        <f>LEFT(Tabla2[[#This Row],[codigo_producto]],FIND("/",Tabla2[[#This Row],[codigo_producto]])-1)</f>
        <v>5</v>
      </c>
      <c r="M54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41" spans="1:13" x14ac:dyDescent="0.25">
      <c r="A541" t="s">
        <v>3361</v>
      </c>
      <c r="B541" t="s">
        <v>2087</v>
      </c>
      <c r="C541" t="s">
        <v>2087</v>
      </c>
      <c r="D541">
        <v>31</v>
      </c>
      <c r="E541">
        <v>3</v>
      </c>
      <c r="F541">
        <v>9</v>
      </c>
      <c r="G541">
        <v>12</v>
      </c>
      <c r="H541" t="s">
        <v>2818</v>
      </c>
      <c r="I54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541" t="s">
        <v>546</v>
      </c>
      <c r="K541" t="str">
        <f>RIGHT(Tabla2[[#This Row],[codigo_producto]],LEN(Tabla2[[#This Row],[codigo_producto]])-FIND("/",Tabla2[[#This Row],[codigo_producto]]))</f>
        <v>2302130K01</v>
      </c>
      <c r="L541" t="str">
        <f>LEFT(Tabla2[[#This Row],[codigo_producto]],FIND("/",Tabla2[[#This Row],[codigo_producto]])-1)</f>
        <v>5</v>
      </c>
      <c r="M54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42" spans="1:13" x14ac:dyDescent="0.25">
      <c r="A542" t="s">
        <v>3362</v>
      </c>
      <c r="B542" t="s">
        <v>2088</v>
      </c>
      <c r="C542" t="s">
        <v>2088</v>
      </c>
      <c r="D542">
        <v>32</v>
      </c>
      <c r="E542">
        <v>3</v>
      </c>
      <c r="F542">
        <v>9</v>
      </c>
      <c r="G542">
        <v>12</v>
      </c>
      <c r="H542" t="s">
        <v>2814</v>
      </c>
      <c r="I54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42" t="s">
        <v>547</v>
      </c>
      <c r="K542" t="str">
        <f>RIGHT(Tabla2[[#This Row],[codigo_producto]],LEN(Tabla2[[#This Row],[codigo_producto]])-FIND("/",Tabla2[[#This Row],[codigo_producto]]))</f>
        <v>2402200K54</v>
      </c>
      <c r="L542" t="str">
        <f>LEFT(Tabla2[[#This Row],[codigo_producto]],FIND("/",Tabla2[[#This Row],[codigo_producto]])-1)</f>
        <v>5</v>
      </c>
      <c r="M54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43" spans="1:13" x14ac:dyDescent="0.25">
      <c r="A543" t="s">
        <v>3363</v>
      </c>
      <c r="B543" t="s">
        <v>2089</v>
      </c>
      <c r="C543" t="s">
        <v>2089</v>
      </c>
      <c r="D543">
        <v>32</v>
      </c>
      <c r="E543">
        <v>3</v>
      </c>
      <c r="F543">
        <v>9</v>
      </c>
      <c r="G543">
        <v>12</v>
      </c>
      <c r="H543" t="s">
        <v>2814</v>
      </c>
      <c r="I54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43" t="s">
        <v>548</v>
      </c>
      <c r="K543" t="str">
        <f>RIGHT(Tabla2[[#This Row],[codigo_producto]],LEN(Tabla2[[#This Row],[codigo_producto]])-FIND("/",Tabla2[[#This Row],[codigo_producto]]))</f>
        <v>2403110K00</v>
      </c>
      <c r="L543" t="str">
        <f>LEFT(Tabla2[[#This Row],[codigo_producto]],FIND("/",Tabla2[[#This Row],[codigo_producto]])-1)</f>
        <v>5</v>
      </c>
      <c r="M54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44" spans="1:13" x14ac:dyDescent="0.25">
      <c r="A544" t="s">
        <v>3364</v>
      </c>
      <c r="B544" t="s">
        <v>2090</v>
      </c>
      <c r="C544" t="s">
        <v>2090</v>
      </c>
      <c r="D544">
        <v>32</v>
      </c>
      <c r="E544">
        <v>3</v>
      </c>
      <c r="F544">
        <v>9</v>
      </c>
      <c r="G544">
        <v>12</v>
      </c>
      <c r="H544" t="s">
        <v>2814</v>
      </c>
      <c r="I54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44" t="s">
        <v>549</v>
      </c>
      <c r="K544" t="str">
        <f>RIGHT(Tabla2[[#This Row],[codigo_producto]],LEN(Tabla2[[#This Row],[codigo_producto]])-FIND("/",Tabla2[[#This Row],[codigo_producto]]))</f>
        <v>2904050K00</v>
      </c>
      <c r="L544" t="str">
        <f>LEFT(Tabla2[[#This Row],[codigo_producto]],FIND("/",Tabla2[[#This Row],[codigo_producto]])-1)</f>
        <v>5</v>
      </c>
      <c r="M54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45" spans="1:13" x14ac:dyDescent="0.25">
      <c r="A545" t="s">
        <v>3365</v>
      </c>
      <c r="B545" t="s">
        <v>2091</v>
      </c>
      <c r="C545" t="s">
        <v>2091</v>
      </c>
      <c r="D545">
        <v>32</v>
      </c>
      <c r="E545">
        <v>3</v>
      </c>
      <c r="F545">
        <v>9</v>
      </c>
      <c r="G545">
        <v>12</v>
      </c>
      <c r="H545" t="s">
        <v>2814</v>
      </c>
      <c r="I54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45" t="s">
        <v>550</v>
      </c>
      <c r="K545" t="str">
        <f>RIGHT(Tabla2[[#This Row],[codigo_producto]],LEN(Tabla2[[#This Row],[codigo_producto]])-FIND("/",Tabla2[[#This Row],[codigo_producto]]))</f>
        <v>3001109D01</v>
      </c>
      <c r="L545" t="str">
        <f>LEFT(Tabla2[[#This Row],[codigo_producto]],FIND("/",Tabla2[[#This Row],[codigo_producto]])-1)</f>
        <v>5</v>
      </c>
      <c r="M54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46" spans="1:13" x14ac:dyDescent="0.25">
      <c r="A546" t="s">
        <v>3366</v>
      </c>
      <c r="B546" t="s">
        <v>1845</v>
      </c>
      <c r="C546" t="s">
        <v>1845</v>
      </c>
      <c r="D546">
        <v>32</v>
      </c>
      <c r="E546">
        <v>3</v>
      </c>
      <c r="F546">
        <v>9</v>
      </c>
      <c r="G546">
        <v>12</v>
      </c>
      <c r="H546" t="s">
        <v>2814</v>
      </c>
      <c r="I54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46" t="s">
        <v>551</v>
      </c>
      <c r="K546" t="str">
        <f>RIGHT(Tabla2[[#This Row],[codigo_producto]],LEN(Tabla2[[#This Row],[codigo_producto]])-FIND("/",Tabla2[[#This Row],[codigo_producto]]))</f>
        <v>3103101P01</v>
      </c>
      <c r="L546" t="str">
        <f>LEFT(Tabla2[[#This Row],[codigo_producto]],FIND("/",Tabla2[[#This Row],[codigo_producto]])-1)</f>
        <v>5</v>
      </c>
      <c r="M54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47" spans="1:13" x14ac:dyDescent="0.25">
      <c r="A547" t="s">
        <v>3367</v>
      </c>
      <c r="B547" t="s">
        <v>2092</v>
      </c>
      <c r="C547" t="s">
        <v>2092</v>
      </c>
      <c r="D547">
        <v>32</v>
      </c>
      <c r="E547">
        <v>3</v>
      </c>
      <c r="F547">
        <v>9</v>
      </c>
      <c r="G547">
        <v>12</v>
      </c>
      <c r="H547" t="s">
        <v>2814</v>
      </c>
      <c r="I54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47" t="s">
        <v>552</v>
      </c>
      <c r="K547" t="str">
        <f>RIGHT(Tabla2[[#This Row],[codigo_producto]],LEN(Tabla2[[#This Row],[codigo_producto]])-FIND("/",Tabla2[[#This Row],[codigo_producto]]))</f>
        <v>3103110K00</v>
      </c>
      <c r="L547" t="str">
        <f>LEFT(Tabla2[[#This Row],[codigo_producto]],FIND("/",Tabla2[[#This Row],[codigo_producto]])-1)</f>
        <v>5</v>
      </c>
      <c r="M54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48" spans="1:13" x14ac:dyDescent="0.25">
      <c r="A548" t="s">
        <v>3368</v>
      </c>
      <c r="B548" t="s">
        <v>2093</v>
      </c>
      <c r="C548" t="s">
        <v>2093</v>
      </c>
      <c r="D548">
        <v>32</v>
      </c>
      <c r="E548">
        <v>3</v>
      </c>
      <c r="F548">
        <v>9</v>
      </c>
      <c r="G548">
        <v>12</v>
      </c>
      <c r="H548" t="s">
        <v>2814</v>
      </c>
      <c r="I54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48" t="s">
        <v>553</v>
      </c>
      <c r="K548" t="str">
        <f>RIGHT(Tabla2[[#This Row],[codigo_producto]],LEN(Tabla2[[#This Row],[codigo_producto]])-FIND("/",Tabla2[[#This Row],[codigo_producto]]))</f>
        <v>3412011K00</v>
      </c>
      <c r="L548" t="str">
        <f>LEFT(Tabla2[[#This Row],[codigo_producto]],FIND("/",Tabla2[[#This Row],[codigo_producto]])-1)</f>
        <v>5</v>
      </c>
      <c r="M54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49" spans="1:13" x14ac:dyDescent="0.25">
      <c r="A549" t="s">
        <v>3369</v>
      </c>
      <c r="B549" t="s">
        <v>2094</v>
      </c>
      <c r="C549" t="s">
        <v>2094</v>
      </c>
      <c r="D549">
        <v>32</v>
      </c>
      <c r="E549">
        <v>3</v>
      </c>
      <c r="F549">
        <v>9</v>
      </c>
      <c r="G549">
        <v>12</v>
      </c>
      <c r="H549" t="s">
        <v>2814</v>
      </c>
      <c r="I54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49" t="s">
        <v>554</v>
      </c>
      <c r="K549" t="str">
        <f>RIGHT(Tabla2[[#This Row],[codigo_producto]],LEN(Tabla2[[#This Row],[codigo_producto]])-FIND("/",Tabla2[[#This Row],[codigo_producto]]))</f>
        <v>3412011K54</v>
      </c>
      <c r="L549" t="str">
        <f>LEFT(Tabla2[[#This Row],[codigo_producto]],FIND("/",Tabla2[[#This Row],[codigo_producto]])-1)</f>
        <v>5</v>
      </c>
      <c r="M54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50" spans="1:13" x14ac:dyDescent="0.25">
      <c r="A550" t="s">
        <v>3370</v>
      </c>
      <c r="B550" t="s">
        <v>2095</v>
      </c>
      <c r="C550" t="s">
        <v>2095</v>
      </c>
      <c r="D550">
        <v>32</v>
      </c>
      <c r="E550">
        <v>3</v>
      </c>
      <c r="F550">
        <v>9</v>
      </c>
      <c r="G550">
        <v>12</v>
      </c>
      <c r="H550" t="s">
        <v>2814</v>
      </c>
      <c r="I55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50" t="s">
        <v>555</v>
      </c>
      <c r="K550" t="str">
        <f>RIGHT(Tabla2[[#This Row],[codigo_producto]],LEN(Tabla2[[#This Row],[codigo_producto]])-FIND("/",Tabla2[[#This Row],[codigo_producto]]))</f>
        <v>3501140G08</v>
      </c>
      <c r="L550" t="str">
        <f>LEFT(Tabla2[[#This Row],[codigo_producto]],FIND("/",Tabla2[[#This Row],[codigo_producto]])-1)</f>
        <v>5</v>
      </c>
      <c r="M55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51" spans="1:13" x14ac:dyDescent="0.25">
      <c r="A551" t="s">
        <v>3371</v>
      </c>
      <c r="B551" t="s">
        <v>2096</v>
      </c>
      <c r="C551" t="s">
        <v>2096</v>
      </c>
      <c r="D551">
        <v>32</v>
      </c>
      <c r="E551">
        <v>3</v>
      </c>
      <c r="F551">
        <v>9</v>
      </c>
      <c r="G551">
        <v>12</v>
      </c>
      <c r="H551" t="s">
        <v>2814</v>
      </c>
      <c r="I55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51" t="s">
        <v>556</v>
      </c>
      <c r="K551" t="str">
        <f>RIGHT(Tabla2[[#This Row],[codigo_producto]],LEN(Tabla2[[#This Row],[codigo_producto]])-FIND("/",Tabla2[[#This Row],[codigo_producto]]))</f>
        <v>3502011P00</v>
      </c>
      <c r="L551" t="str">
        <f>LEFT(Tabla2[[#This Row],[codigo_producto]],FIND("/",Tabla2[[#This Row],[codigo_producto]])-1)</f>
        <v>5</v>
      </c>
      <c r="M55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52" spans="1:13" x14ac:dyDescent="0.25">
      <c r="A552" t="s">
        <v>3372</v>
      </c>
      <c r="B552" t="s">
        <v>2097</v>
      </c>
      <c r="C552" t="s">
        <v>2097</v>
      </c>
      <c r="D552">
        <v>32</v>
      </c>
      <c r="E552">
        <v>3</v>
      </c>
      <c r="F552">
        <v>9</v>
      </c>
      <c r="G552">
        <v>12</v>
      </c>
      <c r="H552" t="s">
        <v>2814</v>
      </c>
      <c r="I55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52" t="s">
        <v>557</v>
      </c>
      <c r="K552" t="str">
        <f>RIGHT(Tabla2[[#This Row],[codigo_producto]],LEN(Tabla2[[#This Row],[codigo_producto]])-FIND("/",Tabla2[[#This Row],[codigo_producto]]))</f>
        <v>3502105K00</v>
      </c>
      <c r="L552" t="str">
        <f>LEFT(Tabla2[[#This Row],[codigo_producto]],FIND("/",Tabla2[[#This Row],[codigo_producto]])-1)</f>
        <v>5</v>
      </c>
      <c r="M55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53" spans="1:13" x14ac:dyDescent="0.25">
      <c r="A553" t="s">
        <v>3373</v>
      </c>
      <c r="B553" t="s">
        <v>2098</v>
      </c>
      <c r="C553" t="s">
        <v>2098</v>
      </c>
      <c r="D553">
        <v>32</v>
      </c>
      <c r="E553">
        <v>3</v>
      </c>
      <c r="F553">
        <v>9</v>
      </c>
      <c r="G553">
        <v>12</v>
      </c>
      <c r="H553" t="s">
        <v>2814</v>
      </c>
      <c r="I55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53" t="s">
        <v>558</v>
      </c>
      <c r="K553" t="str">
        <f>RIGHT(Tabla2[[#This Row],[codigo_producto]],LEN(Tabla2[[#This Row],[codigo_producto]])-FIND("/",Tabla2[[#This Row],[codigo_producto]]))</f>
        <v>3502106K00</v>
      </c>
      <c r="L553" t="str">
        <f>LEFT(Tabla2[[#This Row],[codigo_producto]],FIND("/",Tabla2[[#This Row],[codigo_producto]])-1)</f>
        <v>5</v>
      </c>
      <c r="M55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54" spans="1:13" x14ac:dyDescent="0.25">
      <c r="A554" t="s">
        <v>3374</v>
      </c>
      <c r="B554" t="s">
        <v>2099</v>
      </c>
      <c r="C554" t="s">
        <v>2099</v>
      </c>
      <c r="D554">
        <v>32</v>
      </c>
      <c r="E554">
        <v>3</v>
      </c>
      <c r="F554">
        <v>9</v>
      </c>
      <c r="G554">
        <v>12</v>
      </c>
      <c r="H554" t="s">
        <v>2814</v>
      </c>
      <c r="I55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54" t="s">
        <v>559</v>
      </c>
      <c r="K554" t="str">
        <f>RIGHT(Tabla2[[#This Row],[codigo_producto]],LEN(Tabla2[[#This Row],[codigo_producto]])-FIND("/",Tabla2[[#This Row],[codigo_producto]]))</f>
        <v>3502108K00</v>
      </c>
      <c r="L554" t="str">
        <f>LEFT(Tabla2[[#This Row],[codigo_producto]],FIND("/",Tabla2[[#This Row],[codigo_producto]])-1)</f>
        <v>5</v>
      </c>
      <c r="M55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55" spans="1:13" x14ac:dyDescent="0.25">
      <c r="A555" t="s">
        <v>3375</v>
      </c>
      <c r="B555" t="s">
        <v>2100</v>
      </c>
      <c r="C555" t="s">
        <v>2100</v>
      </c>
      <c r="D555">
        <v>32</v>
      </c>
      <c r="E555">
        <v>3</v>
      </c>
      <c r="F555">
        <v>9</v>
      </c>
      <c r="G555">
        <v>12</v>
      </c>
      <c r="H555" t="s">
        <v>2814</v>
      </c>
      <c r="I55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55" t="s">
        <v>560</v>
      </c>
      <c r="K555" t="str">
        <f>RIGHT(Tabla2[[#This Row],[codigo_producto]],LEN(Tabla2[[#This Row],[codigo_producto]])-FIND("/",Tabla2[[#This Row],[codigo_producto]]))</f>
        <v>3502137P01</v>
      </c>
      <c r="L555" t="str">
        <f>LEFT(Tabla2[[#This Row],[codigo_producto]],FIND("/",Tabla2[[#This Row],[codigo_producto]])-1)</f>
        <v>5</v>
      </c>
      <c r="M55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56" spans="1:13" x14ac:dyDescent="0.25">
      <c r="A556" t="s">
        <v>3376</v>
      </c>
      <c r="B556" t="s">
        <v>2101</v>
      </c>
      <c r="C556" t="s">
        <v>2101</v>
      </c>
      <c r="D556">
        <v>32</v>
      </c>
      <c r="E556">
        <v>3</v>
      </c>
      <c r="F556">
        <v>9</v>
      </c>
      <c r="G556">
        <v>12</v>
      </c>
      <c r="H556" t="s">
        <v>2814</v>
      </c>
      <c r="I55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56" t="s">
        <v>561</v>
      </c>
      <c r="K556" t="str">
        <f>RIGHT(Tabla2[[#This Row],[codigo_producto]],LEN(Tabla2[[#This Row],[codigo_producto]])-FIND("/",Tabla2[[#This Row],[codigo_producto]]))</f>
        <v>3502340G08</v>
      </c>
      <c r="L556" t="str">
        <f>LEFT(Tabla2[[#This Row],[codigo_producto]],FIND("/",Tabla2[[#This Row],[codigo_producto]])-1)</f>
        <v>5</v>
      </c>
      <c r="M55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57" spans="1:13" x14ac:dyDescent="0.25">
      <c r="A557" t="s">
        <v>3377</v>
      </c>
      <c r="B557" t="s">
        <v>2102</v>
      </c>
      <c r="C557" t="s">
        <v>2102</v>
      </c>
      <c r="D557">
        <v>32</v>
      </c>
      <c r="E557">
        <v>3</v>
      </c>
      <c r="F557">
        <v>9</v>
      </c>
      <c r="G557">
        <v>12</v>
      </c>
      <c r="H557" t="s">
        <v>2814</v>
      </c>
      <c r="I55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57" t="s">
        <v>562</v>
      </c>
      <c r="K557" t="str">
        <f>RIGHT(Tabla2[[#This Row],[codigo_producto]],LEN(Tabla2[[#This Row],[codigo_producto]])-FIND("/",Tabla2[[#This Row],[codigo_producto]]))</f>
        <v>3507120K00</v>
      </c>
      <c r="L557" t="str">
        <f>LEFT(Tabla2[[#This Row],[codigo_producto]],FIND("/",Tabla2[[#This Row],[codigo_producto]])-1)</f>
        <v>5</v>
      </c>
      <c r="M55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58" spans="1:13" x14ac:dyDescent="0.25">
      <c r="A558" t="s">
        <v>3378</v>
      </c>
      <c r="B558" t="s">
        <v>2103</v>
      </c>
      <c r="C558" t="s">
        <v>2103</v>
      </c>
      <c r="D558">
        <v>32</v>
      </c>
      <c r="E558">
        <v>3</v>
      </c>
      <c r="F558">
        <v>9</v>
      </c>
      <c r="G558">
        <v>12</v>
      </c>
      <c r="H558" t="s">
        <v>2814</v>
      </c>
      <c r="I55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58" t="s">
        <v>563</v>
      </c>
      <c r="K558" t="str">
        <f>RIGHT(Tabla2[[#This Row],[codigo_producto]],LEN(Tabla2[[#This Row],[codigo_producto]])-FIND("/",Tabla2[[#This Row],[codigo_producto]]))</f>
        <v>3707010E01</v>
      </c>
      <c r="L558" t="str">
        <f>LEFT(Tabla2[[#This Row],[codigo_producto]],FIND("/",Tabla2[[#This Row],[codigo_producto]])-1)</f>
        <v>5</v>
      </c>
      <c r="M55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59" spans="1:13" x14ac:dyDescent="0.25">
      <c r="A559" t="s">
        <v>3379</v>
      </c>
      <c r="B559" t="s">
        <v>2104</v>
      </c>
      <c r="C559" t="s">
        <v>2104</v>
      </c>
      <c r="D559">
        <v>32</v>
      </c>
      <c r="E559">
        <v>3</v>
      </c>
      <c r="F559">
        <v>9</v>
      </c>
      <c r="G559">
        <v>12</v>
      </c>
      <c r="H559" t="s">
        <v>2814</v>
      </c>
      <c r="I55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59" t="s">
        <v>564</v>
      </c>
      <c r="K559" t="str">
        <f>RIGHT(Tabla2[[#This Row],[codigo_producto]],LEN(Tabla2[[#This Row],[codigo_producto]])-FIND("/",Tabla2[[#This Row],[codigo_producto]]))</f>
        <v>8103012K00</v>
      </c>
      <c r="L559" t="str">
        <f>LEFT(Tabla2[[#This Row],[codigo_producto]],FIND("/",Tabla2[[#This Row],[codigo_producto]])-1)</f>
        <v>5</v>
      </c>
      <c r="M55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60" spans="1:13" x14ac:dyDescent="0.25">
      <c r="A560" t="s">
        <v>3380</v>
      </c>
      <c r="B560" t="s">
        <v>2105</v>
      </c>
      <c r="C560" t="s">
        <v>2105</v>
      </c>
      <c r="D560">
        <v>32</v>
      </c>
      <c r="E560">
        <v>3</v>
      </c>
      <c r="F560">
        <v>9</v>
      </c>
      <c r="G560">
        <v>12</v>
      </c>
      <c r="H560" t="s">
        <v>2814</v>
      </c>
      <c r="I56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60" t="s">
        <v>565</v>
      </c>
      <c r="K560" t="str">
        <f>RIGHT(Tabla2[[#This Row],[codigo_producto]],LEN(Tabla2[[#This Row],[codigo_producto]])-FIND("/",Tabla2[[#This Row],[codigo_producto]]))</f>
        <v>8103110K00</v>
      </c>
      <c r="L560" t="str">
        <f>LEFT(Tabla2[[#This Row],[codigo_producto]],FIND("/",Tabla2[[#This Row],[codigo_producto]])-1)</f>
        <v>5</v>
      </c>
      <c r="M56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61" spans="1:13" x14ac:dyDescent="0.25">
      <c r="A561" t="s">
        <v>3381</v>
      </c>
      <c r="B561" t="s">
        <v>1918</v>
      </c>
      <c r="C561" t="s">
        <v>1918</v>
      </c>
      <c r="D561">
        <v>32</v>
      </c>
      <c r="E561">
        <v>3</v>
      </c>
      <c r="F561">
        <v>9</v>
      </c>
      <c r="G561">
        <v>12</v>
      </c>
      <c r="H561" t="s">
        <v>2814</v>
      </c>
      <c r="I56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61" t="s">
        <v>566</v>
      </c>
      <c r="K561" t="str">
        <f>RIGHT(Tabla2[[#This Row],[codigo_producto]],LEN(Tabla2[[#This Row],[codigo_producto]])-FIND("/",Tabla2[[#This Row],[codigo_producto]]))</f>
        <v>8104400K12</v>
      </c>
      <c r="L561" t="str">
        <f>LEFT(Tabla2[[#This Row],[codigo_producto]],FIND("/",Tabla2[[#This Row],[codigo_producto]])-1)</f>
        <v>5</v>
      </c>
      <c r="M56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62" spans="1:13" x14ac:dyDescent="0.25">
      <c r="A562" t="s">
        <v>3382</v>
      </c>
      <c r="B562" t="s">
        <v>2106</v>
      </c>
      <c r="C562" t="s">
        <v>2106</v>
      </c>
      <c r="D562">
        <v>32</v>
      </c>
      <c r="E562">
        <v>3</v>
      </c>
      <c r="F562">
        <v>9</v>
      </c>
      <c r="G562">
        <v>12</v>
      </c>
      <c r="H562" t="s">
        <v>2814</v>
      </c>
      <c r="I56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62" t="s">
        <v>567</v>
      </c>
      <c r="K562" t="str">
        <f>RIGHT(Tabla2[[#This Row],[codigo_producto]],LEN(Tabla2[[#This Row],[codigo_producto]])-FIND("/",Tabla2[[#This Row],[codigo_producto]]))</f>
        <v>8107200P09</v>
      </c>
      <c r="L562" t="str">
        <f>LEFT(Tabla2[[#This Row],[codigo_producto]],FIND("/",Tabla2[[#This Row],[codigo_producto]])-1)</f>
        <v>5</v>
      </c>
      <c r="M56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63" spans="1:13" x14ac:dyDescent="0.25">
      <c r="A563" t="s">
        <v>3383</v>
      </c>
      <c r="B563" t="s">
        <v>1799</v>
      </c>
      <c r="C563" t="s">
        <v>1799</v>
      </c>
      <c r="D563">
        <v>32</v>
      </c>
      <c r="E563">
        <v>3</v>
      </c>
      <c r="F563">
        <v>9</v>
      </c>
      <c r="G563">
        <v>12</v>
      </c>
      <c r="H563" t="s">
        <v>2814</v>
      </c>
      <c r="I56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63" t="s">
        <v>568</v>
      </c>
      <c r="K563" t="str">
        <f>RIGHT(Tabla2[[#This Row],[codigo_producto]],LEN(Tabla2[[#This Row],[codigo_producto]])-FIND("/",Tabla2[[#This Row],[codigo_producto]]))</f>
        <v>8107300P00</v>
      </c>
      <c r="L563" t="str">
        <f>LEFT(Tabla2[[#This Row],[codigo_producto]],FIND("/",Tabla2[[#This Row],[codigo_producto]])-1)</f>
        <v>5</v>
      </c>
      <c r="M56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64" spans="1:13" x14ac:dyDescent="0.25">
      <c r="A564" t="s">
        <v>3384</v>
      </c>
      <c r="B564" t="s">
        <v>2107</v>
      </c>
      <c r="C564" t="s">
        <v>2107</v>
      </c>
      <c r="D564">
        <v>22</v>
      </c>
      <c r="E564">
        <v>3</v>
      </c>
      <c r="F564">
        <v>9</v>
      </c>
      <c r="G564">
        <v>12</v>
      </c>
      <c r="H564" t="s">
        <v>2815</v>
      </c>
      <c r="I56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564" t="s">
        <v>569</v>
      </c>
      <c r="K564" t="str">
        <f>RIGHT(Tabla2[[#This Row],[codigo_producto]],LEN(Tabla2[[#This Row],[codigo_producto]])-FIND("/",Tabla2[[#This Row],[codigo_producto]]))</f>
        <v>KITSEGBT50</v>
      </c>
      <c r="L564" t="str">
        <f>LEFT(Tabla2[[#This Row],[codigo_producto]],FIND("/",Tabla2[[#This Row],[codigo_producto]])-1)</f>
        <v>5</v>
      </c>
      <c r="M56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65" spans="1:13" x14ac:dyDescent="0.25">
      <c r="A565" t="s">
        <v>3385</v>
      </c>
      <c r="B565" t="s">
        <v>2108</v>
      </c>
      <c r="C565" t="s">
        <v>2108</v>
      </c>
      <c r="D565">
        <v>32</v>
      </c>
      <c r="E565">
        <v>3</v>
      </c>
      <c r="F565">
        <v>9</v>
      </c>
      <c r="G565">
        <v>12</v>
      </c>
      <c r="H565" t="s">
        <v>2814</v>
      </c>
      <c r="I56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65" t="s">
        <v>570</v>
      </c>
      <c r="K565" t="str">
        <f>RIGHT(Tabla2[[#This Row],[codigo_producto]],LEN(Tabla2[[#This Row],[codigo_producto]])-FIND("/",Tabla2[[#This Row],[codigo_producto]]))</f>
        <v>LONAWINGLE</v>
      </c>
      <c r="L565" t="str">
        <f>LEFT(Tabla2[[#This Row],[codigo_producto]],FIND("/",Tabla2[[#This Row],[codigo_producto]])-1)</f>
        <v>5</v>
      </c>
      <c r="M56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66" spans="1:13" x14ac:dyDescent="0.25">
      <c r="A566" t="s">
        <v>3386</v>
      </c>
      <c r="B566" t="s">
        <v>2109</v>
      </c>
      <c r="C566" t="s">
        <v>2109</v>
      </c>
      <c r="D566">
        <v>32</v>
      </c>
      <c r="E566">
        <v>3</v>
      </c>
      <c r="F566">
        <v>9</v>
      </c>
      <c r="G566">
        <v>12</v>
      </c>
      <c r="H566" t="s">
        <v>2814</v>
      </c>
      <c r="I56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66" t="s">
        <v>571</v>
      </c>
      <c r="K566" t="str">
        <f>RIGHT(Tabla2[[#This Row],[codigo_producto]],LEN(Tabla2[[#This Row],[codigo_producto]])-FIND("/",Tabla2[[#This Row],[codigo_producto]]))</f>
        <v>SMD136466V</v>
      </c>
      <c r="L566" t="str">
        <f>LEFT(Tabla2[[#This Row],[codigo_producto]],FIND("/",Tabla2[[#This Row],[codigo_producto]])-1)</f>
        <v>5</v>
      </c>
      <c r="M56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67" spans="1:13" x14ac:dyDescent="0.25">
      <c r="A567" t="s">
        <v>3387</v>
      </c>
      <c r="B567" t="s">
        <v>2110</v>
      </c>
      <c r="C567" t="s">
        <v>2110</v>
      </c>
      <c r="D567">
        <v>22</v>
      </c>
      <c r="E567">
        <v>3</v>
      </c>
      <c r="F567">
        <v>9</v>
      </c>
      <c r="G567">
        <v>12</v>
      </c>
      <c r="H567" t="s">
        <v>2815</v>
      </c>
      <c r="I56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567" t="s">
        <v>572</v>
      </c>
      <c r="K567" t="str">
        <f>RIGHT(Tabla2[[#This Row],[codigo_producto]],LEN(Tabla2[[#This Row],[codigo_producto]])-FIND("/",Tabla2[[#This Row],[codigo_producto]]))</f>
        <v>SMD346924G</v>
      </c>
      <c r="L567" t="str">
        <f>LEFT(Tabla2[[#This Row],[codigo_producto]],FIND("/",Tabla2[[#This Row],[codigo_producto]])-1)</f>
        <v>5</v>
      </c>
      <c r="M56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68" spans="1:13" x14ac:dyDescent="0.25">
      <c r="A568" t="s">
        <v>3388</v>
      </c>
      <c r="B568" t="s">
        <v>2111</v>
      </c>
      <c r="C568" t="s">
        <v>2111</v>
      </c>
      <c r="D568">
        <v>32</v>
      </c>
      <c r="E568">
        <v>2</v>
      </c>
      <c r="F568">
        <v>9</v>
      </c>
      <c r="G568">
        <v>12</v>
      </c>
      <c r="H568" t="s">
        <v>2814</v>
      </c>
      <c r="I56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68" t="s">
        <v>573</v>
      </c>
      <c r="K568" t="str">
        <f>RIGHT(Tabla2[[#This Row],[codigo_producto]],LEN(Tabla2[[#This Row],[codigo_producto]])-FIND("/",Tabla2[[#This Row],[codigo_producto]]))</f>
        <v>450343OTS</v>
      </c>
      <c r="L568" t="str">
        <f>LEFT(Tabla2[[#This Row],[codigo_producto]],FIND("/",Tabla2[[#This Row],[codigo_producto]])-1)</f>
        <v>59</v>
      </c>
      <c r="M56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569" spans="1:13" x14ac:dyDescent="0.25">
      <c r="A569" t="s">
        <v>3389</v>
      </c>
      <c r="B569" t="s">
        <v>2112</v>
      </c>
      <c r="C569" t="s">
        <v>2112</v>
      </c>
      <c r="D569">
        <v>32</v>
      </c>
      <c r="E569">
        <v>2</v>
      </c>
      <c r="F569">
        <v>9</v>
      </c>
      <c r="G569">
        <v>12</v>
      </c>
      <c r="H569" t="s">
        <v>2814</v>
      </c>
      <c r="I56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69" t="s">
        <v>574</v>
      </c>
      <c r="K569" t="str">
        <f>RIGHT(Tabla2[[#This Row],[codigo_producto]],LEN(Tabla2[[#This Row],[codigo_producto]])-FIND("/",Tabla2[[#This Row],[codigo_producto]]))</f>
        <v>7013QVOTS</v>
      </c>
      <c r="L569" t="str">
        <f>LEFT(Tabla2[[#This Row],[codigo_producto]],FIND("/",Tabla2[[#This Row],[codigo_producto]])-1)</f>
        <v>59</v>
      </c>
      <c r="M56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570" spans="1:13" x14ac:dyDescent="0.25">
      <c r="A570" t="s">
        <v>3390</v>
      </c>
      <c r="B570" t="s">
        <v>2113</v>
      </c>
      <c r="C570" t="s">
        <v>2113</v>
      </c>
      <c r="D570">
        <v>32</v>
      </c>
      <c r="E570">
        <v>2</v>
      </c>
      <c r="F570">
        <v>9</v>
      </c>
      <c r="G570">
        <v>12</v>
      </c>
      <c r="H570" t="s">
        <v>2814</v>
      </c>
      <c r="I57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70" t="s">
        <v>575</v>
      </c>
      <c r="K570" t="str">
        <f>RIGHT(Tabla2[[#This Row],[codigo_producto]],LEN(Tabla2[[#This Row],[codigo_producto]])-FIND("/",Tabla2[[#This Row],[codigo_producto]]))</f>
        <v>7013QWOTS</v>
      </c>
      <c r="L570" t="str">
        <f>LEFT(Tabla2[[#This Row],[codigo_producto]],FIND("/",Tabla2[[#This Row],[codigo_producto]])-1)</f>
        <v>59</v>
      </c>
      <c r="M57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571" spans="1:13" x14ac:dyDescent="0.25">
      <c r="A571" t="s">
        <v>3391</v>
      </c>
      <c r="B571" t="s">
        <v>2114</v>
      </c>
      <c r="C571" t="s">
        <v>2114</v>
      </c>
      <c r="D571">
        <v>32</v>
      </c>
      <c r="E571">
        <v>2</v>
      </c>
      <c r="F571">
        <v>9</v>
      </c>
      <c r="G571">
        <v>12</v>
      </c>
      <c r="H571" t="s">
        <v>2814</v>
      </c>
      <c r="I57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71" t="s">
        <v>576</v>
      </c>
      <c r="K571" t="str">
        <f>RIGHT(Tabla2[[#This Row],[codigo_producto]],LEN(Tabla2[[#This Row],[codigo_producto]])-FIND("/",Tabla2[[#This Row],[codigo_producto]]))</f>
        <v>7013QXOTS</v>
      </c>
      <c r="L571" t="str">
        <f>LEFT(Tabla2[[#This Row],[codigo_producto]],FIND("/",Tabla2[[#This Row],[codigo_producto]])-1)</f>
        <v>59</v>
      </c>
      <c r="M57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572" spans="1:13" x14ac:dyDescent="0.25">
      <c r="A572" t="s">
        <v>3392</v>
      </c>
      <c r="B572" t="s">
        <v>2115</v>
      </c>
      <c r="C572" t="s">
        <v>2115</v>
      </c>
      <c r="D572">
        <v>32</v>
      </c>
      <c r="E572">
        <v>2</v>
      </c>
      <c r="F572">
        <v>9</v>
      </c>
      <c r="G572">
        <v>12</v>
      </c>
      <c r="H572" t="s">
        <v>2814</v>
      </c>
      <c r="I57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72" t="s">
        <v>577</v>
      </c>
      <c r="K572" t="str">
        <f>RIGHT(Tabla2[[#This Row],[codigo_producto]],LEN(Tabla2[[#This Row],[codigo_producto]])-FIND("/",Tabla2[[#This Row],[codigo_producto]]))</f>
        <v>KITSEGC4C</v>
      </c>
      <c r="L572" t="str">
        <f>LEFT(Tabla2[[#This Row],[codigo_producto]],FIND("/",Tabla2[[#This Row],[codigo_producto]])-1)</f>
        <v>59</v>
      </c>
      <c r="M57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573" spans="1:13" x14ac:dyDescent="0.25">
      <c r="A573" t="s">
        <v>3393</v>
      </c>
      <c r="B573" t="s">
        <v>1799</v>
      </c>
      <c r="C573" t="s">
        <v>1799</v>
      </c>
      <c r="D573">
        <v>32</v>
      </c>
      <c r="E573">
        <v>1</v>
      </c>
      <c r="F573">
        <v>9</v>
      </c>
      <c r="G573">
        <v>12</v>
      </c>
      <c r="H573" t="s">
        <v>2814</v>
      </c>
      <c r="I57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73" t="s">
        <v>578</v>
      </c>
      <c r="K573" t="str">
        <f>RIGHT(Tabla2[[#This Row],[codigo_producto]],LEN(Tabla2[[#This Row],[codigo_producto]])-FIND("/",Tabla2[[#This Row],[codigo_producto]]))</f>
        <v>C201135300</v>
      </c>
      <c r="L573" t="str">
        <f>LEFT(Tabla2[[#This Row],[codigo_producto]],FIND("/",Tabla2[[#This Row],[codigo_producto]])-1)</f>
        <v>6</v>
      </c>
      <c r="M57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574" spans="1:13" x14ac:dyDescent="0.25">
      <c r="A574" t="s">
        <v>3394</v>
      </c>
      <c r="B574" t="s">
        <v>1827</v>
      </c>
      <c r="C574" t="s">
        <v>1827</v>
      </c>
      <c r="D574">
        <v>32</v>
      </c>
      <c r="E574">
        <v>1</v>
      </c>
      <c r="F574">
        <v>9</v>
      </c>
      <c r="G574">
        <v>12</v>
      </c>
      <c r="H574" t="s">
        <v>2814</v>
      </c>
      <c r="I57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74" t="s">
        <v>579</v>
      </c>
      <c r="K574" t="str">
        <f>RIGHT(Tabla2[[#This Row],[codigo_producto]],LEN(Tabla2[[#This Row],[codigo_producto]])-FIND("/",Tabla2[[#This Row],[codigo_producto]]))</f>
        <v>CM50130201</v>
      </c>
      <c r="L574" t="str">
        <f>LEFT(Tabla2[[#This Row],[codigo_producto]],FIND("/",Tabla2[[#This Row],[codigo_producto]])-1)</f>
        <v>6</v>
      </c>
      <c r="M57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575" spans="1:13" x14ac:dyDescent="0.25">
      <c r="A575" t="s">
        <v>3395</v>
      </c>
      <c r="B575" t="s">
        <v>1712</v>
      </c>
      <c r="C575" t="s">
        <v>1712</v>
      </c>
      <c r="D575">
        <v>32</v>
      </c>
      <c r="E575">
        <v>1</v>
      </c>
      <c r="F575">
        <v>9</v>
      </c>
      <c r="G575">
        <v>12</v>
      </c>
      <c r="H575" t="s">
        <v>2814</v>
      </c>
      <c r="I57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75" t="s">
        <v>580</v>
      </c>
      <c r="K575" t="str">
        <f>RIGHT(Tabla2[[#This Row],[codigo_producto]],LEN(Tabla2[[#This Row],[codigo_producto]])-FIND("/",Tabla2[[#This Row],[codigo_producto]]))</f>
        <v>H150021010</v>
      </c>
      <c r="L575" t="str">
        <f>LEFT(Tabla2[[#This Row],[codigo_producto]],FIND("/",Tabla2[[#This Row],[codigo_producto]])-1)</f>
        <v>6</v>
      </c>
      <c r="M57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576" spans="1:13" x14ac:dyDescent="0.25">
      <c r="A576" t="s">
        <v>3396</v>
      </c>
      <c r="B576" t="s">
        <v>1839</v>
      </c>
      <c r="C576" t="s">
        <v>1839</v>
      </c>
      <c r="D576">
        <v>32</v>
      </c>
      <c r="E576">
        <v>1</v>
      </c>
      <c r="F576">
        <v>9</v>
      </c>
      <c r="G576">
        <v>12</v>
      </c>
      <c r="H576" t="s">
        <v>2814</v>
      </c>
      <c r="I57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76" t="s">
        <v>581</v>
      </c>
      <c r="K576" t="str">
        <f>RIGHT(Tabla2[[#This Row],[codigo_producto]],LEN(Tabla2[[#This Row],[codigo_producto]])-FIND("/",Tabla2[[#This Row],[codigo_producto]]))</f>
        <v>H160010800</v>
      </c>
      <c r="L576" t="str">
        <f>LEFT(Tabla2[[#This Row],[codigo_producto]],FIND("/",Tabla2[[#This Row],[codigo_producto]])-1)</f>
        <v>6</v>
      </c>
      <c r="M57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577" spans="1:13" x14ac:dyDescent="0.25">
      <c r="A577" t="s">
        <v>3397</v>
      </c>
      <c r="B577" t="s">
        <v>1839</v>
      </c>
      <c r="C577" t="s">
        <v>1839</v>
      </c>
      <c r="D577">
        <v>32</v>
      </c>
      <c r="E577">
        <v>1</v>
      </c>
      <c r="F577">
        <v>9</v>
      </c>
      <c r="G577">
        <v>12</v>
      </c>
      <c r="H577" t="s">
        <v>2814</v>
      </c>
      <c r="I57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77" t="s">
        <v>582</v>
      </c>
      <c r="K577" t="str">
        <f>RIGHT(Tabla2[[#This Row],[codigo_producto]],LEN(Tabla2[[#This Row],[codigo_producto]])-FIND("/",Tabla2[[#This Row],[codigo_producto]]))</f>
        <v>H160010810</v>
      </c>
      <c r="L577" t="str">
        <f>LEFT(Tabla2[[#This Row],[codigo_producto]],FIND("/",Tabla2[[#This Row],[codigo_producto]])-1)</f>
        <v>6</v>
      </c>
      <c r="M57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578" spans="1:13" x14ac:dyDescent="0.25">
      <c r="A578" t="s">
        <v>3398</v>
      </c>
      <c r="B578" t="s">
        <v>2116</v>
      </c>
      <c r="C578" t="s">
        <v>2116</v>
      </c>
      <c r="D578">
        <v>32</v>
      </c>
      <c r="E578">
        <v>1</v>
      </c>
      <c r="F578">
        <v>9</v>
      </c>
      <c r="G578">
        <v>12</v>
      </c>
      <c r="H578" t="s">
        <v>2814</v>
      </c>
      <c r="I57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78" t="s">
        <v>583</v>
      </c>
      <c r="K578" t="str">
        <f>RIGHT(Tabla2[[#This Row],[codigo_producto]],LEN(Tabla2[[#This Row],[codigo_producto]])-FIND("/",Tabla2[[#This Row],[codigo_producto]]))</f>
        <v>KITSEGA500</v>
      </c>
      <c r="L578" t="str">
        <f>LEFT(Tabla2[[#This Row],[codigo_producto]],FIND("/",Tabla2[[#This Row],[codigo_producto]])-1)</f>
        <v>6</v>
      </c>
      <c r="M57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579" spans="1:13" x14ac:dyDescent="0.25">
      <c r="A579" t="s">
        <v>3399</v>
      </c>
      <c r="B579" t="s">
        <v>2117</v>
      </c>
      <c r="C579" t="s">
        <v>2117</v>
      </c>
      <c r="D579">
        <v>32</v>
      </c>
      <c r="E579">
        <v>1</v>
      </c>
      <c r="F579">
        <v>9</v>
      </c>
      <c r="G579">
        <v>12</v>
      </c>
      <c r="H579" t="s">
        <v>2814</v>
      </c>
      <c r="I57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79" t="s">
        <v>584</v>
      </c>
      <c r="K579" t="str">
        <f>RIGHT(Tabla2[[#This Row],[codigo_producto]],LEN(Tabla2[[#This Row],[codigo_producto]])-FIND("/",Tabla2[[#This Row],[codigo_producto]]))</f>
        <v>KITSEGCS15</v>
      </c>
      <c r="L579" t="str">
        <f>LEFT(Tabla2[[#This Row],[codigo_producto]],FIND("/",Tabla2[[#This Row],[codigo_producto]])-1)</f>
        <v>6</v>
      </c>
      <c r="M57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580" spans="1:13" x14ac:dyDescent="0.25">
      <c r="A580" t="s">
        <v>3400</v>
      </c>
      <c r="B580" t="s">
        <v>2118</v>
      </c>
      <c r="C580" t="s">
        <v>2118</v>
      </c>
      <c r="D580">
        <v>22</v>
      </c>
      <c r="E580">
        <v>1</v>
      </c>
      <c r="F580">
        <v>9</v>
      </c>
      <c r="G580">
        <v>12</v>
      </c>
      <c r="H580" t="s">
        <v>2815</v>
      </c>
      <c r="I58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580" t="s">
        <v>585</v>
      </c>
      <c r="K580" t="str">
        <f>RIGHT(Tabla2[[#This Row],[codigo_producto]],LEN(Tabla2[[#This Row],[codigo_producto]])-FIND("/",Tabla2[[#This Row],[codigo_producto]]))</f>
        <v>KITSEGCS55</v>
      </c>
      <c r="L580" t="str">
        <f>LEFT(Tabla2[[#This Row],[codigo_producto]],FIND("/",Tabla2[[#This Row],[codigo_producto]])-1)</f>
        <v>6</v>
      </c>
      <c r="M58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581" spans="1:13" x14ac:dyDescent="0.25">
      <c r="A581" t="s">
        <v>3401</v>
      </c>
      <c r="B581" t="s">
        <v>2118</v>
      </c>
      <c r="C581" t="s">
        <v>2118</v>
      </c>
      <c r="D581">
        <v>32</v>
      </c>
      <c r="E581">
        <v>1</v>
      </c>
      <c r="F581">
        <v>9</v>
      </c>
      <c r="G581">
        <v>12</v>
      </c>
      <c r="H581" t="s">
        <v>2814</v>
      </c>
      <c r="I58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81" t="s">
        <v>586</v>
      </c>
      <c r="K581" t="str">
        <f>RIGHT(Tabla2[[#This Row],[codigo_producto]],LEN(Tabla2[[#This Row],[codigo_producto]])-FIND("/",Tabla2[[#This Row],[codigo_producto]]))</f>
        <v>KITSEGCS75</v>
      </c>
      <c r="L581" t="str">
        <f>LEFT(Tabla2[[#This Row],[codigo_producto]],FIND("/",Tabla2[[#This Row],[codigo_producto]])-1)</f>
        <v>6</v>
      </c>
      <c r="M58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582" spans="1:13" x14ac:dyDescent="0.25">
      <c r="A582" t="s">
        <v>3402</v>
      </c>
      <c r="B582" t="s">
        <v>2118</v>
      </c>
      <c r="C582" t="s">
        <v>2118</v>
      </c>
      <c r="D582">
        <v>22</v>
      </c>
      <c r="E582">
        <v>1</v>
      </c>
      <c r="F582">
        <v>9</v>
      </c>
      <c r="G582">
        <v>12</v>
      </c>
      <c r="H582" t="s">
        <v>2815</v>
      </c>
      <c r="I58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582" t="s">
        <v>587</v>
      </c>
      <c r="K582" t="str">
        <f>RIGHT(Tabla2[[#This Row],[codigo_producto]],LEN(Tabla2[[#This Row],[codigo_producto]])-FIND("/",Tabla2[[#This Row],[codigo_producto]]))</f>
        <v>KITSEGSUPV</v>
      </c>
      <c r="L582" t="str">
        <f>LEFT(Tabla2[[#This Row],[codigo_producto]],FIND("/",Tabla2[[#This Row],[codigo_producto]])-1)</f>
        <v>6</v>
      </c>
      <c r="M58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583" spans="1:13" x14ac:dyDescent="0.25">
      <c r="A583" t="s">
        <v>3403</v>
      </c>
      <c r="B583" t="s">
        <v>2119</v>
      </c>
      <c r="C583" t="s">
        <v>2119</v>
      </c>
      <c r="D583">
        <v>32</v>
      </c>
      <c r="E583">
        <v>1</v>
      </c>
      <c r="F583">
        <v>9</v>
      </c>
      <c r="G583">
        <v>12</v>
      </c>
      <c r="H583" t="s">
        <v>2814</v>
      </c>
      <c r="I58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83" t="s">
        <v>588</v>
      </c>
      <c r="K583" t="str">
        <f>RIGHT(Tabla2[[#This Row],[codigo_producto]],LEN(Tabla2[[#This Row],[codigo_producto]])-FIND("/",Tabla2[[#This Row],[codigo_producto]]))</f>
        <v>KITSEGUNIT</v>
      </c>
      <c r="L583" t="str">
        <f>LEFT(Tabla2[[#This Row],[codigo_producto]],FIND("/",Tabla2[[#This Row],[codigo_producto]])-1)</f>
        <v>6</v>
      </c>
      <c r="M58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584" spans="1:13" x14ac:dyDescent="0.25">
      <c r="A584" t="s">
        <v>3404</v>
      </c>
      <c r="B584" t="s">
        <v>1793</v>
      </c>
      <c r="C584" t="s">
        <v>1793</v>
      </c>
      <c r="D584">
        <v>32</v>
      </c>
      <c r="E584">
        <v>5</v>
      </c>
      <c r="F584">
        <v>9</v>
      </c>
      <c r="G584">
        <v>12</v>
      </c>
      <c r="H584" t="s">
        <v>2814</v>
      </c>
      <c r="I58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84" t="s">
        <v>589</v>
      </c>
      <c r="K584" t="str">
        <f>RIGHT(Tabla2[[#This Row],[codigo_producto]],LEN(Tabla2[[#This Row],[codigo_producto]])-FIND("/",Tabla2[[#This Row],[codigo_producto]]))</f>
        <v>1009102RAA</v>
      </c>
      <c r="L584" t="str">
        <f>LEFT(Tabla2[[#This Row],[codigo_producto]],FIND("/",Tabla2[[#This Row],[codigo_producto]])-1)</f>
        <v>7</v>
      </c>
      <c r="M58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585" spans="1:13" x14ac:dyDescent="0.25">
      <c r="A585" t="s">
        <v>3405</v>
      </c>
      <c r="B585" t="s">
        <v>1712</v>
      </c>
      <c r="C585" t="s">
        <v>1712</v>
      </c>
      <c r="D585">
        <v>32</v>
      </c>
      <c r="E585">
        <v>5</v>
      </c>
      <c r="F585">
        <v>9</v>
      </c>
      <c r="G585">
        <v>12</v>
      </c>
      <c r="H585" t="s">
        <v>2814</v>
      </c>
      <c r="I58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85" t="s">
        <v>590</v>
      </c>
      <c r="K585" t="str">
        <f>RIGHT(Tabla2[[#This Row],[codigo_producto]],LEN(Tabla2[[#This Row],[codigo_producto]])-FIND("/",Tabla2[[#This Row],[codigo_producto]]))</f>
        <v>1012100TNB</v>
      </c>
      <c r="L585" t="str">
        <f>LEFT(Tabla2[[#This Row],[codigo_producto]],FIND("/",Tabla2[[#This Row],[codigo_producto]])-1)</f>
        <v>7</v>
      </c>
      <c r="M58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586" spans="1:13" x14ac:dyDescent="0.25">
      <c r="A586" t="s">
        <v>3406</v>
      </c>
      <c r="B586" t="s">
        <v>2120</v>
      </c>
      <c r="C586" t="s">
        <v>2120</v>
      </c>
      <c r="D586">
        <v>32</v>
      </c>
      <c r="E586">
        <v>5</v>
      </c>
      <c r="F586">
        <v>9</v>
      </c>
      <c r="G586">
        <v>12</v>
      </c>
      <c r="H586" t="s">
        <v>2814</v>
      </c>
      <c r="I58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86" t="s">
        <v>591</v>
      </c>
      <c r="K586" t="str">
        <f>RIGHT(Tabla2[[#This Row],[codigo_producto]],LEN(Tabla2[[#This Row],[codigo_producto]])-FIND("/",Tabla2[[#This Row],[codigo_producto]]))</f>
        <v>1026104GAA</v>
      </c>
      <c r="L586" t="str">
        <f>LEFT(Tabla2[[#This Row],[codigo_producto]],FIND("/",Tabla2[[#This Row],[codigo_producto]])-1)</f>
        <v>7</v>
      </c>
      <c r="M58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587" spans="1:13" x14ac:dyDescent="0.25">
      <c r="A587" t="s">
        <v>3407</v>
      </c>
      <c r="B587" t="s">
        <v>2121</v>
      </c>
      <c r="C587" t="s">
        <v>2121</v>
      </c>
      <c r="D587">
        <v>32</v>
      </c>
      <c r="E587">
        <v>5</v>
      </c>
      <c r="F587">
        <v>9</v>
      </c>
      <c r="G587">
        <v>12</v>
      </c>
      <c r="H587" t="s">
        <v>2814</v>
      </c>
      <c r="I58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87" t="s">
        <v>592</v>
      </c>
      <c r="K587" t="str">
        <f>RIGHT(Tabla2[[#This Row],[codigo_producto]],LEN(Tabla2[[#This Row],[codigo_producto]])-FIND("/",Tabla2[[#This Row],[codigo_producto]]))</f>
        <v>31911V2210</v>
      </c>
      <c r="L587" t="str">
        <f>LEFT(Tabla2[[#This Row],[codigo_producto]],FIND("/",Tabla2[[#This Row],[codigo_producto]])-1)</f>
        <v>7</v>
      </c>
      <c r="M58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588" spans="1:13" x14ac:dyDescent="0.25">
      <c r="A588" t="s">
        <v>3408</v>
      </c>
      <c r="B588" t="s">
        <v>2122</v>
      </c>
      <c r="C588" t="s">
        <v>2122</v>
      </c>
      <c r="D588">
        <v>32</v>
      </c>
      <c r="E588">
        <v>5</v>
      </c>
      <c r="F588">
        <v>9</v>
      </c>
      <c r="G588">
        <v>12</v>
      </c>
      <c r="H588" t="s">
        <v>2814</v>
      </c>
      <c r="I58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88" t="s">
        <v>593</v>
      </c>
      <c r="K588" t="str">
        <f>RIGHT(Tabla2[[#This Row],[codigo_producto]],LEN(Tabla2[[#This Row],[codigo_producto]])-FIND("/",Tabla2[[#This Row],[codigo_producto]]))</f>
        <v>4203930010</v>
      </c>
      <c r="L588" t="str">
        <f>LEFT(Tabla2[[#This Row],[codigo_producto]],FIND("/",Tabla2[[#This Row],[codigo_producto]])-1)</f>
        <v>7</v>
      </c>
      <c r="M58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589" spans="1:13" x14ac:dyDescent="0.25">
      <c r="A589" t="s">
        <v>3409</v>
      </c>
      <c r="B589" t="s">
        <v>2123</v>
      </c>
      <c r="C589" t="s">
        <v>2123</v>
      </c>
      <c r="D589">
        <v>32</v>
      </c>
      <c r="E589">
        <v>5</v>
      </c>
      <c r="F589">
        <v>9</v>
      </c>
      <c r="G589">
        <v>12</v>
      </c>
      <c r="H589" t="s">
        <v>2814</v>
      </c>
      <c r="I58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89" t="s">
        <v>594</v>
      </c>
      <c r="K589" t="str">
        <f>RIGHT(Tabla2[[#This Row],[codigo_producto]],LEN(Tabla2[[#This Row],[codigo_producto]])-FIND("/",Tabla2[[#This Row],[codigo_producto]]))</f>
        <v>491404A500</v>
      </c>
      <c r="L589" t="str">
        <f>LEFT(Tabla2[[#This Row],[codigo_producto]],FIND("/",Tabla2[[#This Row],[codigo_producto]])-1)</f>
        <v>7</v>
      </c>
      <c r="M58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590" spans="1:13" x14ac:dyDescent="0.25">
      <c r="A590" t="s">
        <v>3410</v>
      </c>
      <c r="B590" t="s">
        <v>2124</v>
      </c>
      <c r="C590" t="s">
        <v>2124</v>
      </c>
      <c r="D590">
        <v>32</v>
      </c>
      <c r="E590">
        <v>5</v>
      </c>
      <c r="F590">
        <v>9</v>
      </c>
      <c r="G590">
        <v>12</v>
      </c>
      <c r="H590" t="s">
        <v>2814</v>
      </c>
      <c r="I59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90" t="s">
        <v>595</v>
      </c>
      <c r="K590" t="str">
        <f>RIGHT(Tabla2[[#This Row],[codigo_producto]],LEN(Tabla2[[#This Row],[codigo_producto]])-FIND("/",Tabla2[[#This Row],[codigo_producto]]))</f>
        <v>528204A060</v>
      </c>
      <c r="L590" t="str">
        <f>LEFT(Tabla2[[#This Row],[codigo_producto]],FIND("/",Tabla2[[#This Row],[codigo_producto]])-1)</f>
        <v>7</v>
      </c>
      <c r="M59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591" spans="1:13" x14ac:dyDescent="0.25">
      <c r="A591" t="s">
        <v>3411</v>
      </c>
      <c r="B591" t="s">
        <v>2125</v>
      </c>
      <c r="C591" t="s">
        <v>2125</v>
      </c>
      <c r="D591">
        <v>32</v>
      </c>
      <c r="E591">
        <v>5</v>
      </c>
      <c r="F591">
        <v>9</v>
      </c>
      <c r="G591">
        <v>12</v>
      </c>
      <c r="H591" t="s">
        <v>2814</v>
      </c>
      <c r="I59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91" t="s">
        <v>596</v>
      </c>
      <c r="K591" t="str">
        <f>RIGHT(Tabla2[[#This Row],[codigo_producto]],LEN(Tabla2[[#This Row],[codigo_producto]])-FIND("/",Tabla2[[#This Row],[codigo_producto]]))</f>
        <v>581014AA32</v>
      </c>
      <c r="L591" t="str">
        <f>LEFT(Tabla2[[#This Row],[codigo_producto]],FIND("/",Tabla2[[#This Row],[codigo_producto]])-1)</f>
        <v>7</v>
      </c>
      <c r="M59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592" spans="1:13" x14ac:dyDescent="0.25">
      <c r="A592" t="s">
        <v>3412</v>
      </c>
      <c r="B592" t="s">
        <v>2126</v>
      </c>
      <c r="C592" t="s">
        <v>2126</v>
      </c>
      <c r="D592">
        <v>32</v>
      </c>
      <c r="E592">
        <v>5</v>
      </c>
      <c r="F592">
        <v>9</v>
      </c>
      <c r="G592">
        <v>12</v>
      </c>
      <c r="H592" t="s">
        <v>2814</v>
      </c>
      <c r="I59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92" t="s">
        <v>597</v>
      </c>
      <c r="K592" t="str">
        <f>RIGHT(Tabla2[[#This Row],[codigo_producto]],LEN(Tabla2[[#This Row],[codigo_producto]])-FIND("/",Tabla2[[#This Row],[codigo_producto]]))</f>
        <v>81991V2091</v>
      </c>
      <c r="L592" t="str">
        <f>LEFT(Tabla2[[#This Row],[codigo_producto]],FIND("/",Tabla2[[#This Row],[codigo_producto]])-1)</f>
        <v>7</v>
      </c>
      <c r="M59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593" spans="1:13" x14ac:dyDescent="0.25">
      <c r="A593" t="s">
        <v>3413</v>
      </c>
      <c r="B593" t="s">
        <v>2127</v>
      </c>
      <c r="C593" t="s">
        <v>2127</v>
      </c>
      <c r="D593">
        <v>32</v>
      </c>
      <c r="E593">
        <v>5</v>
      </c>
      <c r="F593">
        <v>9</v>
      </c>
      <c r="G593">
        <v>12</v>
      </c>
      <c r="H593" t="s">
        <v>2814</v>
      </c>
      <c r="I59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93" t="s">
        <v>598</v>
      </c>
      <c r="K593" t="str">
        <f>RIGHT(Tabla2[[#This Row],[codigo_producto]],LEN(Tabla2[[#This Row],[codigo_producto]])-FIND("/",Tabla2[[#This Row],[codigo_producto]]))</f>
        <v>FWJ-25AOTS</v>
      </c>
      <c r="L593" t="str">
        <f>LEFT(Tabla2[[#This Row],[codigo_producto]],FIND("/",Tabla2[[#This Row],[codigo_producto]])-1)</f>
        <v>7</v>
      </c>
      <c r="M59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594" spans="1:13" x14ac:dyDescent="0.25">
      <c r="A594" t="s">
        <v>3414</v>
      </c>
      <c r="B594" t="s">
        <v>2128</v>
      </c>
      <c r="C594" t="s">
        <v>2128</v>
      </c>
      <c r="D594">
        <v>32</v>
      </c>
      <c r="E594">
        <v>10</v>
      </c>
      <c r="F594">
        <v>9</v>
      </c>
      <c r="G594">
        <v>12</v>
      </c>
      <c r="H594" t="s">
        <v>2814</v>
      </c>
      <c r="I59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94" t="s">
        <v>599</v>
      </c>
      <c r="K594" t="str">
        <f>RIGHT(Tabla2[[#This Row],[codigo_producto]],LEN(Tabla2[[#This Row],[codigo_producto]])-FIND("/",Tabla2[[#This Row],[codigo_producto]]))</f>
        <v>2000003520</v>
      </c>
      <c r="L594" t="str">
        <f>LEFT(Tabla2[[#This Row],[codigo_producto]],FIND("/",Tabla2[[#This Row],[codigo_producto]])-1)</f>
        <v>8</v>
      </c>
      <c r="M59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10</v>
      </c>
    </row>
    <row r="595" spans="1:13" x14ac:dyDescent="0.25">
      <c r="A595" t="s">
        <v>3415</v>
      </c>
      <c r="B595" t="s">
        <v>2129</v>
      </c>
      <c r="C595" t="s">
        <v>2129</v>
      </c>
      <c r="D595">
        <v>32</v>
      </c>
      <c r="E595">
        <v>10</v>
      </c>
      <c r="F595">
        <v>9</v>
      </c>
      <c r="G595">
        <v>12</v>
      </c>
      <c r="H595" t="s">
        <v>2814</v>
      </c>
      <c r="I59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95" t="s">
        <v>600</v>
      </c>
      <c r="K595" t="str">
        <f>RIGHT(Tabla2[[#This Row],[codigo_producto]],LEN(Tabla2[[#This Row],[codigo_producto]])-FIND("/",Tabla2[[#This Row],[codigo_producto]]))</f>
        <v>2000003693</v>
      </c>
      <c r="L595" t="str">
        <f>LEFT(Tabla2[[#This Row],[codigo_producto]],FIND("/",Tabla2[[#This Row],[codigo_producto]])-1)</f>
        <v>8</v>
      </c>
      <c r="M59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10</v>
      </c>
    </row>
    <row r="596" spans="1:13" x14ac:dyDescent="0.25">
      <c r="A596" t="s">
        <v>3416</v>
      </c>
      <c r="B596" t="s">
        <v>2130</v>
      </c>
      <c r="C596" t="s">
        <v>2130</v>
      </c>
      <c r="D596">
        <v>32</v>
      </c>
      <c r="E596">
        <v>10</v>
      </c>
      <c r="F596">
        <v>9</v>
      </c>
      <c r="G596">
        <v>12</v>
      </c>
      <c r="H596" t="s">
        <v>2814</v>
      </c>
      <c r="I59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96" t="s">
        <v>601</v>
      </c>
      <c r="K596" t="str">
        <f>RIGHT(Tabla2[[#This Row],[codigo_producto]],LEN(Tabla2[[#This Row],[codigo_producto]])-FIND("/",Tabla2[[#This Row],[codigo_producto]]))</f>
        <v>2000003865</v>
      </c>
      <c r="L596" t="str">
        <f>LEFT(Tabla2[[#This Row],[codigo_producto]],FIND("/",Tabla2[[#This Row],[codigo_producto]])-1)</f>
        <v>8</v>
      </c>
      <c r="M59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10</v>
      </c>
    </row>
    <row r="597" spans="1:13" x14ac:dyDescent="0.25">
      <c r="A597" t="s">
        <v>3417</v>
      </c>
      <c r="B597" t="s">
        <v>1839</v>
      </c>
      <c r="C597" t="s">
        <v>1839</v>
      </c>
      <c r="D597">
        <v>32</v>
      </c>
      <c r="E597">
        <v>10</v>
      </c>
      <c r="F597">
        <v>9</v>
      </c>
      <c r="G597">
        <v>12</v>
      </c>
      <c r="H597" t="s">
        <v>2814</v>
      </c>
      <c r="I59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97" t="s">
        <v>602</v>
      </c>
      <c r="K597" t="str">
        <f>RIGHT(Tabla2[[#This Row],[codigo_producto]],LEN(Tabla2[[#This Row],[codigo_producto]])-FIND("/",Tabla2[[#This Row],[codigo_producto]]))</f>
        <v>2000004023</v>
      </c>
      <c r="L597" t="str">
        <f>LEFT(Tabla2[[#This Row],[codigo_producto]],FIND("/",Tabla2[[#This Row],[codigo_producto]])-1)</f>
        <v>8</v>
      </c>
      <c r="M59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10</v>
      </c>
    </row>
    <row r="598" spans="1:13" x14ac:dyDescent="0.25">
      <c r="A598" t="s">
        <v>3418</v>
      </c>
      <c r="B598" t="s">
        <v>1918</v>
      </c>
      <c r="C598" t="s">
        <v>1918</v>
      </c>
      <c r="D598">
        <v>32</v>
      </c>
      <c r="E598">
        <v>10</v>
      </c>
      <c r="F598">
        <v>9</v>
      </c>
      <c r="G598">
        <v>12</v>
      </c>
      <c r="H598" t="s">
        <v>2814</v>
      </c>
      <c r="I59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98" t="s">
        <v>603</v>
      </c>
      <c r="K598" t="str">
        <f>RIGHT(Tabla2[[#This Row],[codigo_producto]],LEN(Tabla2[[#This Row],[codigo_producto]])-FIND("/",Tabla2[[#This Row],[codigo_producto]]))</f>
        <v>2000004554</v>
      </c>
      <c r="L598" t="str">
        <f>LEFT(Tabla2[[#This Row],[codigo_producto]],FIND("/",Tabla2[[#This Row],[codigo_producto]])-1)</f>
        <v>8</v>
      </c>
      <c r="M59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10</v>
      </c>
    </row>
    <row r="599" spans="1:13" x14ac:dyDescent="0.25">
      <c r="A599" t="s">
        <v>3419</v>
      </c>
      <c r="B599" t="s">
        <v>2131</v>
      </c>
      <c r="C599" t="s">
        <v>2131</v>
      </c>
      <c r="D599">
        <v>32</v>
      </c>
      <c r="E599">
        <v>10</v>
      </c>
      <c r="F599">
        <v>9</v>
      </c>
      <c r="G599">
        <v>12</v>
      </c>
      <c r="H599" t="s">
        <v>2814</v>
      </c>
      <c r="I59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99" t="s">
        <v>604</v>
      </c>
      <c r="K599" t="str">
        <f>RIGHT(Tabla2[[#This Row],[codigo_producto]],LEN(Tabla2[[#This Row],[codigo_producto]])-FIND("/",Tabla2[[#This Row],[codigo_producto]]))</f>
        <v>2000004793</v>
      </c>
      <c r="L599" t="str">
        <f>LEFT(Tabla2[[#This Row],[codigo_producto]],FIND("/",Tabla2[[#This Row],[codigo_producto]])-1)</f>
        <v>8</v>
      </c>
      <c r="M59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10</v>
      </c>
    </row>
    <row r="600" spans="1:13" x14ac:dyDescent="0.25">
      <c r="A600" t="s">
        <v>3420</v>
      </c>
      <c r="B600" t="s">
        <v>2132</v>
      </c>
      <c r="C600" t="s">
        <v>2132</v>
      </c>
      <c r="D600">
        <v>32</v>
      </c>
      <c r="E600">
        <v>10</v>
      </c>
      <c r="F600">
        <v>9</v>
      </c>
      <c r="G600">
        <v>12</v>
      </c>
      <c r="H600" t="s">
        <v>2814</v>
      </c>
      <c r="I60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00" t="s">
        <v>605</v>
      </c>
      <c r="K600" t="str">
        <f>RIGHT(Tabla2[[#This Row],[codigo_producto]],LEN(Tabla2[[#This Row],[codigo_producto]])-FIND("/",Tabla2[[#This Row],[codigo_producto]]))</f>
        <v>2000004795</v>
      </c>
      <c r="L600" t="str">
        <f>LEFT(Tabla2[[#This Row],[codigo_producto]],FIND("/",Tabla2[[#This Row],[codigo_producto]])-1)</f>
        <v>8</v>
      </c>
      <c r="M60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10</v>
      </c>
    </row>
    <row r="601" spans="1:13" x14ac:dyDescent="0.25">
      <c r="A601" t="s">
        <v>3421</v>
      </c>
      <c r="B601" t="s">
        <v>2133</v>
      </c>
      <c r="C601" t="s">
        <v>2133</v>
      </c>
      <c r="D601">
        <v>32</v>
      </c>
      <c r="E601">
        <v>10</v>
      </c>
      <c r="F601">
        <v>9</v>
      </c>
      <c r="G601">
        <v>12</v>
      </c>
      <c r="H601" t="s">
        <v>2814</v>
      </c>
      <c r="I60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01" t="s">
        <v>606</v>
      </c>
      <c r="K601" t="str">
        <f>RIGHT(Tabla2[[#This Row],[codigo_producto]],LEN(Tabla2[[#This Row],[codigo_producto]])-FIND("/",Tabla2[[#This Row],[codigo_producto]]))</f>
        <v>2000005240</v>
      </c>
      <c r="L601" t="str">
        <f>LEFT(Tabla2[[#This Row],[codigo_producto]],FIND("/",Tabla2[[#This Row],[codigo_producto]])-1)</f>
        <v>8</v>
      </c>
      <c r="M60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10</v>
      </c>
    </row>
    <row r="602" spans="1:13" x14ac:dyDescent="0.25">
      <c r="A602" t="s">
        <v>3422</v>
      </c>
      <c r="B602" t="s">
        <v>2134</v>
      </c>
      <c r="C602" t="s">
        <v>2134</v>
      </c>
      <c r="D602">
        <v>32</v>
      </c>
      <c r="E602">
        <v>10</v>
      </c>
      <c r="F602">
        <v>9</v>
      </c>
      <c r="G602">
        <v>12</v>
      </c>
      <c r="H602" t="s">
        <v>2814</v>
      </c>
      <c r="I60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02" t="s">
        <v>607</v>
      </c>
      <c r="K602" t="str">
        <f>RIGHT(Tabla2[[#This Row],[codigo_producto]],LEN(Tabla2[[#This Row],[codigo_producto]])-FIND("/",Tabla2[[#This Row],[codigo_producto]]))</f>
        <v>2000005241</v>
      </c>
      <c r="L602" t="str">
        <f>LEFT(Tabla2[[#This Row],[codigo_producto]],FIND("/",Tabla2[[#This Row],[codigo_producto]])-1)</f>
        <v>8</v>
      </c>
      <c r="M60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10</v>
      </c>
    </row>
    <row r="603" spans="1:13" x14ac:dyDescent="0.25">
      <c r="A603" t="s">
        <v>3423</v>
      </c>
      <c r="B603" t="s">
        <v>2135</v>
      </c>
      <c r="C603" t="s">
        <v>2135</v>
      </c>
      <c r="D603">
        <v>32</v>
      </c>
      <c r="E603">
        <v>10</v>
      </c>
      <c r="F603">
        <v>9</v>
      </c>
      <c r="G603">
        <v>12</v>
      </c>
      <c r="H603" t="s">
        <v>2814</v>
      </c>
      <c r="I60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03" t="s">
        <v>608</v>
      </c>
      <c r="K603" t="str">
        <f>RIGHT(Tabla2[[#This Row],[codigo_producto]],LEN(Tabla2[[#This Row],[codigo_producto]])-FIND("/",Tabla2[[#This Row],[codigo_producto]]))</f>
        <v>2000005242</v>
      </c>
      <c r="L603" t="str">
        <f>LEFT(Tabla2[[#This Row],[codigo_producto]],FIND("/",Tabla2[[#This Row],[codigo_producto]])-1)</f>
        <v>8</v>
      </c>
      <c r="M60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10</v>
      </c>
    </row>
    <row r="604" spans="1:13" x14ac:dyDescent="0.25">
      <c r="A604" t="s">
        <v>3424</v>
      </c>
      <c r="B604" t="s">
        <v>2136</v>
      </c>
      <c r="C604" t="s">
        <v>2136</v>
      </c>
      <c r="D604">
        <v>32</v>
      </c>
      <c r="E604">
        <v>10</v>
      </c>
      <c r="F604">
        <v>9</v>
      </c>
      <c r="G604">
        <v>12</v>
      </c>
      <c r="H604" t="s">
        <v>2814</v>
      </c>
      <c r="I60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04" t="s">
        <v>609</v>
      </c>
      <c r="K604" t="str">
        <f>RIGHT(Tabla2[[#This Row],[codigo_producto]],LEN(Tabla2[[#This Row],[codigo_producto]])-FIND("/",Tabla2[[#This Row],[codigo_producto]]))</f>
        <v>2000005243</v>
      </c>
      <c r="L604" t="str">
        <f>LEFT(Tabla2[[#This Row],[codigo_producto]],FIND("/",Tabla2[[#This Row],[codigo_producto]])-1)</f>
        <v>8</v>
      </c>
      <c r="M60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10</v>
      </c>
    </row>
    <row r="605" spans="1:13" x14ac:dyDescent="0.25">
      <c r="A605" t="s">
        <v>3425</v>
      </c>
      <c r="B605" t="s">
        <v>2137</v>
      </c>
      <c r="C605" t="s">
        <v>2137</v>
      </c>
      <c r="D605">
        <v>32</v>
      </c>
      <c r="E605">
        <v>10</v>
      </c>
      <c r="F605">
        <v>9</v>
      </c>
      <c r="G605">
        <v>12</v>
      </c>
      <c r="H605" t="s">
        <v>2814</v>
      </c>
      <c r="I60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05" t="s">
        <v>610</v>
      </c>
      <c r="K605" t="str">
        <f>RIGHT(Tabla2[[#This Row],[codigo_producto]],LEN(Tabla2[[#This Row],[codigo_producto]])-FIND("/",Tabla2[[#This Row],[codigo_producto]]))</f>
        <v>2000005244</v>
      </c>
      <c r="L605" t="str">
        <f>LEFT(Tabla2[[#This Row],[codigo_producto]],FIND("/",Tabla2[[#This Row],[codigo_producto]])-1)</f>
        <v>8</v>
      </c>
      <c r="M60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10</v>
      </c>
    </row>
    <row r="606" spans="1:13" x14ac:dyDescent="0.25">
      <c r="A606" t="s">
        <v>3426</v>
      </c>
      <c r="B606" t="s">
        <v>2138</v>
      </c>
      <c r="C606" t="s">
        <v>2138</v>
      </c>
      <c r="D606">
        <v>32</v>
      </c>
      <c r="E606">
        <v>10</v>
      </c>
      <c r="F606">
        <v>9</v>
      </c>
      <c r="G606">
        <v>12</v>
      </c>
      <c r="H606" t="s">
        <v>2814</v>
      </c>
      <c r="I60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06" t="s">
        <v>611</v>
      </c>
      <c r="K606" t="str">
        <f>RIGHT(Tabla2[[#This Row],[codigo_producto]],LEN(Tabla2[[#This Row],[codigo_producto]])-FIND("/",Tabla2[[#This Row],[codigo_producto]]))</f>
        <v>2000005247</v>
      </c>
      <c r="L606" t="str">
        <f>LEFT(Tabla2[[#This Row],[codigo_producto]],FIND("/",Tabla2[[#This Row],[codigo_producto]])-1)</f>
        <v>8</v>
      </c>
      <c r="M60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10</v>
      </c>
    </row>
    <row r="607" spans="1:13" x14ac:dyDescent="0.25">
      <c r="A607" t="s">
        <v>3427</v>
      </c>
      <c r="B607" t="s">
        <v>2139</v>
      </c>
      <c r="C607" t="s">
        <v>2139</v>
      </c>
      <c r="D607">
        <v>32</v>
      </c>
      <c r="E607">
        <v>10</v>
      </c>
      <c r="F607">
        <v>9</v>
      </c>
      <c r="G607">
        <v>12</v>
      </c>
      <c r="H607" t="s">
        <v>2814</v>
      </c>
      <c r="I60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07" t="s">
        <v>612</v>
      </c>
      <c r="K607" t="str">
        <f>RIGHT(Tabla2[[#This Row],[codigo_producto]],LEN(Tabla2[[#This Row],[codigo_producto]])-FIND("/",Tabla2[[#This Row],[codigo_producto]]))</f>
        <v>2000005430</v>
      </c>
      <c r="L607" t="str">
        <f>LEFT(Tabla2[[#This Row],[codigo_producto]],FIND("/",Tabla2[[#This Row],[codigo_producto]])-1)</f>
        <v>8</v>
      </c>
      <c r="M60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10</v>
      </c>
    </row>
    <row r="608" spans="1:13" x14ac:dyDescent="0.25">
      <c r="A608" t="s">
        <v>3428</v>
      </c>
      <c r="B608" t="s">
        <v>2033</v>
      </c>
      <c r="C608" t="s">
        <v>2033</v>
      </c>
      <c r="D608">
        <v>32</v>
      </c>
      <c r="E608">
        <v>10</v>
      </c>
      <c r="F608">
        <v>9</v>
      </c>
      <c r="G608">
        <v>12</v>
      </c>
      <c r="H608" t="s">
        <v>2814</v>
      </c>
      <c r="I60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08" t="s">
        <v>613</v>
      </c>
      <c r="K608" t="str">
        <f>RIGHT(Tabla2[[#This Row],[codigo_producto]],LEN(Tabla2[[#This Row],[codigo_producto]])-FIND("/",Tabla2[[#This Row],[codigo_producto]]))</f>
        <v>2000005723</v>
      </c>
      <c r="L608" t="str">
        <f>LEFT(Tabla2[[#This Row],[codigo_producto]],FIND("/",Tabla2[[#This Row],[codigo_producto]])-1)</f>
        <v>8</v>
      </c>
      <c r="M60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10</v>
      </c>
    </row>
    <row r="609" spans="1:13" x14ac:dyDescent="0.25">
      <c r="A609" t="s">
        <v>3429</v>
      </c>
      <c r="B609" t="s">
        <v>2140</v>
      </c>
      <c r="C609" t="s">
        <v>2140</v>
      </c>
      <c r="D609">
        <v>32</v>
      </c>
      <c r="E609">
        <v>10</v>
      </c>
      <c r="F609">
        <v>9</v>
      </c>
      <c r="G609">
        <v>12</v>
      </c>
      <c r="H609" t="s">
        <v>2814</v>
      </c>
      <c r="I60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09" t="s">
        <v>614</v>
      </c>
      <c r="K609" t="str">
        <f>RIGHT(Tabla2[[#This Row],[codigo_producto]],LEN(Tabla2[[#This Row],[codigo_producto]])-FIND("/",Tabla2[[#This Row],[codigo_producto]]))</f>
        <v>2000007134</v>
      </c>
      <c r="L609" t="str">
        <f>LEFT(Tabla2[[#This Row],[codigo_producto]],FIND("/",Tabla2[[#This Row],[codigo_producto]])-1)</f>
        <v>8</v>
      </c>
      <c r="M60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10</v>
      </c>
    </row>
    <row r="610" spans="1:13" x14ac:dyDescent="0.25">
      <c r="A610" t="s">
        <v>3430</v>
      </c>
      <c r="B610" t="s">
        <v>2141</v>
      </c>
      <c r="C610" t="s">
        <v>2141</v>
      </c>
      <c r="D610">
        <v>32</v>
      </c>
      <c r="E610">
        <v>10</v>
      </c>
      <c r="F610">
        <v>9</v>
      </c>
      <c r="G610">
        <v>12</v>
      </c>
      <c r="H610" t="s">
        <v>2814</v>
      </c>
      <c r="I61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10" t="s">
        <v>615</v>
      </c>
      <c r="K610" t="str">
        <f>RIGHT(Tabla2[[#This Row],[codigo_producto]],LEN(Tabla2[[#This Row],[codigo_producto]])-FIND("/",Tabla2[[#This Row],[codigo_producto]]))</f>
        <v>2000007164</v>
      </c>
      <c r="L610" t="str">
        <f>LEFT(Tabla2[[#This Row],[codigo_producto]],FIND("/",Tabla2[[#This Row],[codigo_producto]])-1)</f>
        <v>8</v>
      </c>
      <c r="M61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10</v>
      </c>
    </row>
    <row r="611" spans="1:13" x14ac:dyDescent="0.25">
      <c r="A611" t="s">
        <v>3431</v>
      </c>
      <c r="B611" t="s">
        <v>2142</v>
      </c>
      <c r="C611" t="s">
        <v>2142</v>
      </c>
      <c r="D611">
        <v>32</v>
      </c>
      <c r="E611">
        <v>10</v>
      </c>
      <c r="F611">
        <v>9</v>
      </c>
      <c r="G611">
        <v>12</v>
      </c>
      <c r="H611" t="s">
        <v>2814</v>
      </c>
      <c r="I61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11" t="s">
        <v>616</v>
      </c>
      <c r="K611" t="str">
        <f>RIGHT(Tabla2[[#This Row],[codigo_producto]],LEN(Tabla2[[#This Row],[codigo_producto]])-FIND("/",Tabla2[[#This Row],[codigo_producto]]))</f>
        <v>2000009238</v>
      </c>
      <c r="L611" t="str">
        <f>LEFT(Tabla2[[#This Row],[codigo_producto]],FIND("/",Tabla2[[#This Row],[codigo_producto]])-1)</f>
        <v>8</v>
      </c>
      <c r="M61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10</v>
      </c>
    </row>
    <row r="612" spans="1:13" x14ac:dyDescent="0.25">
      <c r="A612" t="s">
        <v>3432</v>
      </c>
      <c r="B612" t="s">
        <v>2143</v>
      </c>
      <c r="C612" t="s">
        <v>2143</v>
      </c>
      <c r="D612">
        <v>32</v>
      </c>
      <c r="E612">
        <v>10</v>
      </c>
      <c r="F612">
        <v>9</v>
      </c>
      <c r="G612">
        <v>12</v>
      </c>
      <c r="H612" t="s">
        <v>2814</v>
      </c>
      <c r="I61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12" t="s">
        <v>617</v>
      </c>
      <c r="K612" t="str">
        <f>RIGHT(Tabla2[[#This Row],[codigo_producto]],LEN(Tabla2[[#This Row],[codigo_producto]])-FIND("/",Tabla2[[#This Row],[codigo_producto]]))</f>
        <v>2000009246</v>
      </c>
      <c r="L612" t="str">
        <f>LEFT(Tabla2[[#This Row],[codigo_producto]],FIND("/",Tabla2[[#This Row],[codigo_producto]])-1)</f>
        <v>8</v>
      </c>
      <c r="M61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10</v>
      </c>
    </row>
    <row r="613" spans="1:13" x14ac:dyDescent="0.25">
      <c r="A613" t="s">
        <v>3433</v>
      </c>
      <c r="B613" t="s">
        <v>2144</v>
      </c>
      <c r="C613" t="s">
        <v>2144</v>
      </c>
      <c r="D613">
        <v>32</v>
      </c>
      <c r="E613">
        <v>10</v>
      </c>
      <c r="F613">
        <v>9</v>
      </c>
      <c r="G613">
        <v>12</v>
      </c>
      <c r="H613" t="s">
        <v>2814</v>
      </c>
      <c r="I61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13" t="s">
        <v>618</v>
      </c>
      <c r="K613" t="str">
        <f>RIGHT(Tabla2[[#This Row],[codigo_producto]],LEN(Tabla2[[#This Row],[codigo_producto]])-FIND("/",Tabla2[[#This Row],[codigo_producto]]))</f>
        <v>2000010241</v>
      </c>
      <c r="L613" t="str">
        <f>LEFT(Tabla2[[#This Row],[codigo_producto]],FIND("/",Tabla2[[#This Row],[codigo_producto]])-1)</f>
        <v>8</v>
      </c>
      <c r="M61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10</v>
      </c>
    </row>
    <row r="614" spans="1:13" x14ac:dyDescent="0.25">
      <c r="A614" t="s">
        <v>3434</v>
      </c>
      <c r="B614" t="s">
        <v>2145</v>
      </c>
      <c r="C614" t="s">
        <v>2145</v>
      </c>
      <c r="D614">
        <v>32</v>
      </c>
      <c r="E614">
        <v>10</v>
      </c>
      <c r="F614">
        <v>9</v>
      </c>
      <c r="G614">
        <v>12</v>
      </c>
      <c r="H614" t="s">
        <v>2814</v>
      </c>
      <c r="I61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14" t="s">
        <v>619</v>
      </c>
      <c r="K614" t="str">
        <f>RIGHT(Tabla2[[#This Row],[codigo_producto]],LEN(Tabla2[[#This Row],[codigo_producto]])-FIND("/",Tabla2[[#This Row],[codigo_producto]]))</f>
        <v>2000014170</v>
      </c>
      <c r="L614" t="str">
        <f>LEFT(Tabla2[[#This Row],[codigo_producto]],FIND("/",Tabla2[[#This Row],[codigo_producto]])-1)</f>
        <v>8</v>
      </c>
      <c r="M61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10</v>
      </c>
    </row>
    <row r="615" spans="1:13" x14ac:dyDescent="0.25">
      <c r="A615" t="s">
        <v>3435</v>
      </c>
      <c r="B615" t="s">
        <v>2146</v>
      </c>
      <c r="C615" t="s">
        <v>2146</v>
      </c>
      <c r="D615">
        <v>32</v>
      </c>
      <c r="E615">
        <v>10</v>
      </c>
      <c r="F615">
        <v>9</v>
      </c>
      <c r="G615">
        <v>12</v>
      </c>
      <c r="H615" t="s">
        <v>2814</v>
      </c>
      <c r="I61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15" t="s">
        <v>620</v>
      </c>
      <c r="K615" t="str">
        <f>RIGHT(Tabla2[[#This Row],[codigo_producto]],LEN(Tabla2[[#This Row],[codigo_producto]])-FIND("/",Tabla2[[#This Row],[codigo_producto]]))</f>
        <v>2000014171</v>
      </c>
      <c r="L615" t="str">
        <f>LEFT(Tabla2[[#This Row],[codigo_producto]],FIND("/",Tabla2[[#This Row],[codigo_producto]])-1)</f>
        <v>8</v>
      </c>
      <c r="M61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10</v>
      </c>
    </row>
    <row r="616" spans="1:13" x14ac:dyDescent="0.25">
      <c r="A616" t="s">
        <v>3436</v>
      </c>
      <c r="B616" t="s">
        <v>1902</v>
      </c>
      <c r="C616" t="s">
        <v>1902</v>
      </c>
      <c r="D616">
        <v>32</v>
      </c>
      <c r="E616">
        <v>10</v>
      </c>
      <c r="F616">
        <v>9</v>
      </c>
      <c r="G616">
        <v>12</v>
      </c>
      <c r="H616" t="s">
        <v>2814</v>
      </c>
      <c r="I61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16" t="s">
        <v>621</v>
      </c>
      <c r="K616" t="str">
        <f>RIGHT(Tabla2[[#This Row],[codigo_producto]],LEN(Tabla2[[#This Row],[codigo_producto]])-FIND("/",Tabla2[[#This Row],[codigo_producto]]))</f>
        <v>2000014172</v>
      </c>
      <c r="L616" t="str">
        <f>LEFT(Tabla2[[#This Row],[codigo_producto]],FIND("/",Tabla2[[#This Row],[codigo_producto]])-1)</f>
        <v>8</v>
      </c>
      <c r="M61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10</v>
      </c>
    </row>
    <row r="617" spans="1:13" x14ac:dyDescent="0.25">
      <c r="A617" t="s">
        <v>3437</v>
      </c>
      <c r="B617" t="s">
        <v>2147</v>
      </c>
      <c r="C617" t="s">
        <v>2147</v>
      </c>
      <c r="D617">
        <v>32</v>
      </c>
      <c r="E617">
        <v>10</v>
      </c>
      <c r="F617">
        <v>9</v>
      </c>
      <c r="G617">
        <v>12</v>
      </c>
      <c r="H617" t="s">
        <v>2814</v>
      </c>
      <c r="I61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17" t="s">
        <v>622</v>
      </c>
      <c r="K617" t="str">
        <f>RIGHT(Tabla2[[#This Row],[codigo_producto]],LEN(Tabla2[[#This Row],[codigo_producto]])-FIND("/",Tabla2[[#This Row],[codigo_producto]]))</f>
        <v>6207345738</v>
      </c>
      <c r="L617" t="str">
        <f>LEFT(Tabla2[[#This Row],[codigo_producto]],FIND("/",Tabla2[[#This Row],[codigo_producto]])-1)</f>
        <v>8</v>
      </c>
      <c r="M61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10</v>
      </c>
    </row>
    <row r="618" spans="1:13" x14ac:dyDescent="0.25">
      <c r="A618" t="s">
        <v>3438</v>
      </c>
      <c r="B618" t="s">
        <v>2148</v>
      </c>
      <c r="C618" t="s">
        <v>2148</v>
      </c>
      <c r="D618">
        <v>32</v>
      </c>
      <c r="E618">
        <v>11</v>
      </c>
      <c r="F618">
        <v>9</v>
      </c>
      <c r="G618">
        <v>12</v>
      </c>
      <c r="H618" t="s">
        <v>2814</v>
      </c>
      <c r="I61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18" t="s">
        <v>623</v>
      </c>
      <c r="K618" t="str">
        <f>RIGHT(Tabla2[[#This Row],[codigo_producto]],LEN(Tabla2[[#This Row],[codigo_producto]])-FIND("/",Tabla2[[#This Row],[codigo_producto]]))</f>
        <v>63350XC10D</v>
      </c>
      <c r="L618" t="str">
        <f>LEFT(Tabla2[[#This Row],[codigo_producto]],FIND("/",Tabla2[[#This Row],[codigo_producto]])-1)</f>
        <v>9</v>
      </c>
      <c r="M61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11</v>
      </c>
    </row>
    <row r="619" spans="1:13" x14ac:dyDescent="0.25">
      <c r="A619" t="s">
        <v>3439</v>
      </c>
      <c r="B619" t="s">
        <v>2149</v>
      </c>
      <c r="C619" t="s">
        <v>2149</v>
      </c>
      <c r="D619">
        <v>32</v>
      </c>
      <c r="E619">
        <v>11</v>
      </c>
      <c r="F619">
        <v>9</v>
      </c>
      <c r="G619">
        <v>12</v>
      </c>
      <c r="H619" t="s">
        <v>2814</v>
      </c>
      <c r="I61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19" t="s">
        <v>624</v>
      </c>
      <c r="K619" t="str">
        <f>RIGHT(Tabla2[[#This Row],[codigo_producto]],LEN(Tabla2[[#This Row],[codigo_producto]])-FIND("/",Tabla2[[#This Row],[codigo_producto]]))</f>
        <v>91036FN210</v>
      </c>
      <c r="L619" t="str">
        <f>LEFT(Tabla2[[#This Row],[codigo_producto]],FIND("/",Tabla2[[#This Row],[codigo_producto]])-1)</f>
        <v>9</v>
      </c>
      <c r="M61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11</v>
      </c>
    </row>
    <row r="620" spans="1:13" x14ac:dyDescent="0.25">
      <c r="A620" t="s">
        <v>3440</v>
      </c>
      <c r="B620" t="s">
        <v>2150</v>
      </c>
      <c r="C620" t="s">
        <v>2150</v>
      </c>
      <c r="D620">
        <v>32</v>
      </c>
      <c r="E620">
        <v>11</v>
      </c>
      <c r="F620">
        <v>9</v>
      </c>
      <c r="G620">
        <v>12</v>
      </c>
      <c r="H620" t="s">
        <v>2814</v>
      </c>
      <c r="I62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20" t="s">
        <v>625</v>
      </c>
      <c r="K620" t="str">
        <f>RIGHT(Tabla2[[#This Row],[codigo_producto]],LEN(Tabla2[[#This Row],[codigo_producto]])-FIND("/",Tabla2[[#This Row],[codigo_producto]]))</f>
        <v>91059FN010</v>
      </c>
      <c r="L620" t="str">
        <f>LEFT(Tabla2[[#This Row],[codigo_producto]],FIND("/",Tabla2[[#This Row],[codigo_producto]])-1)</f>
        <v>9</v>
      </c>
      <c r="M62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11</v>
      </c>
    </row>
    <row r="621" spans="1:13" x14ac:dyDescent="0.25">
      <c r="A621" t="s">
        <v>3441</v>
      </c>
      <c r="B621" t="s">
        <v>1714</v>
      </c>
      <c r="C621" t="s">
        <v>1714</v>
      </c>
      <c r="D621">
        <v>32</v>
      </c>
      <c r="E621">
        <v>8</v>
      </c>
      <c r="F621">
        <v>9</v>
      </c>
      <c r="G621">
        <v>12</v>
      </c>
      <c r="H621" t="s">
        <v>2814</v>
      </c>
      <c r="I62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21" t="s">
        <v>626</v>
      </c>
      <c r="K621" t="str">
        <f>RIGHT(Tabla2[[#This Row],[codigo_producto]],LEN(Tabla2[[#This Row],[codigo_producto]])-FIND("/",Tabla2[[#This Row],[codigo_producto]]))</f>
        <v>13780M67L00</v>
      </c>
      <c r="L621" t="str">
        <f>LEFT(Tabla2[[#This Row],[codigo_producto]],FIND("/",Tabla2[[#This Row],[codigo_producto]])-1)</f>
        <v>1</v>
      </c>
      <c r="M62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622" spans="1:13" x14ac:dyDescent="0.25">
      <c r="A622" t="s">
        <v>3442</v>
      </c>
      <c r="B622" t="s">
        <v>2151</v>
      </c>
      <c r="C622" t="s">
        <v>2151</v>
      </c>
      <c r="D622">
        <v>32</v>
      </c>
      <c r="E622">
        <v>8</v>
      </c>
      <c r="F622">
        <v>9</v>
      </c>
      <c r="G622">
        <v>12</v>
      </c>
      <c r="H622" t="s">
        <v>2814</v>
      </c>
      <c r="I62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22" t="s">
        <v>627</v>
      </c>
      <c r="K622" t="str">
        <f>RIGHT(Tabla2[[#This Row],[codigo_producto]],LEN(Tabla2[[#This Row],[codigo_producto]])-FIND("/",Tabla2[[#This Row],[codigo_producto]]))</f>
        <v>1752177-E20</v>
      </c>
      <c r="L622" t="str">
        <f>LEFT(Tabla2[[#This Row],[codigo_producto]],FIND("/",Tabla2[[#This Row],[codigo_producto]])-1)</f>
        <v>1</v>
      </c>
      <c r="M62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623" spans="1:13" x14ac:dyDescent="0.25">
      <c r="A623" t="s">
        <v>3443</v>
      </c>
      <c r="B623" t="s">
        <v>2152</v>
      </c>
      <c r="C623" t="s">
        <v>2152</v>
      </c>
      <c r="D623">
        <v>32</v>
      </c>
      <c r="E623">
        <v>8</v>
      </c>
      <c r="F623">
        <v>9</v>
      </c>
      <c r="G623">
        <v>12</v>
      </c>
      <c r="H623" t="s">
        <v>2814</v>
      </c>
      <c r="I62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23" t="s">
        <v>628</v>
      </c>
      <c r="K623" t="str">
        <f>RIGHT(Tabla2[[#This Row],[codigo_producto]],LEN(Tabla2[[#This Row],[codigo_producto]])-FIND("/",Tabla2[[#This Row],[codigo_producto]]))</f>
        <v>DPCAMBALENO</v>
      </c>
      <c r="L623" t="str">
        <f>LEFT(Tabla2[[#This Row],[codigo_producto]],FIND("/",Tabla2[[#This Row],[codigo_producto]])-1)</f>
        <v>1</v>
      </c>
      <c r="M62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624" spans="1:13" x14ac:dyDescent="0.25">
      <c r="A624" t="s">
        <v>3444</v>
      </c>
      <c r="B624" t="s">
        <v>2153</v>
      </c>
      <c r="C624" t="s">
        <v>2153</v>
      </c>
      <c r="D624">
        <v>22</v>
      </c>
      <c r="E624">
        <v>8</v>
      </c>
      <c r="F624">
        <v>9</v>
      </c>
      <c r="G624">
        <v>12</v>
      </c>
      <c r="H624" t="s">
        <v>2815</v>
      </c>
      <c r="I62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624" t="s">
        <v>629</v>
      </c>
      <c r="K624" t="str">
        <f>RIGHT(Tabla2[[#This Row],[codigo_producto]],LEN(Tabla2[[#This Row],[codigo_producto]])-FIND("/",Tabla2[[#This Row],[codigo_producto]]))</f>
        <v>KITSEGDZIRE</v>
      </c>
      <c r="L624" t="str">
        <f>LEFT(Tabla2[[#This Row],[codigo_producto]],FIND("/",Tabla2[[#This Row],[codigo_producto]])-1)</f>
        <v>1</v>
      </c>
      <c r="M62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625" spans="1:13" x14ac:dyDescent="0.25">
      <c r="A625" t="s">
        <v>3445</v>
      </c>
      <c r="B625" t="s">
        <v>1884</v>
      </c>
      <c r="C625" t="s">
        <v>1884</v>
      </c>
      <c r="D625">
        <v>32</v>
      </c>
      <c r="E625">
        <v>8</v>
      </c>
      <c r="F625">
        <v>9</v>
      </c>
      <c r="G625">
        <v>12</v>
      </c>
      <c r="H625" t="s">
        <v>2814</v>
      </c>
      <c r="I62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25" t="s">
        <v>630</v>
      </c>
      <c r="K625" t="str">
        <f>RIGHT(Tabla2[[#This Row],[codigo_producto]],LEN(Tabla2[[#This Row],[codigo_producto]])-FIND("/",Tabla2[[#This Row],[codigo_producto]]))</f>
        <v>LFR5A-11-BR</v>
      </c>
      <c r="L625" t="str">
        <f>LEFT(Tabla2[[#This Row],[codigo_producto]],FIND("/",Tabla2[[#This Row],[codigo_producto]])-1)</f>
        <v>1</v>
      </c>
      <c r="M62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626" spans="1:13" x14ac:dyDescent="0.25">
      <c r="A626" t="s">
        <v>3446</v>
      </c>
      <c r="B626" t="s">
        <v>2154</v>
      </c>
      <c r="C626" t="s">
        <v>2154</v>
      </c>
      <c r="D626">
        <v>29</v>
      </c>
      <c r="E626">
        <v>8</v>
      </c>
      <c r="F626">
        <v>9</v>
      </c>
      <c r="G626">
        <v>12</v>
      </c>
      <c r="H626" t="s">
        <v>2817</v>
      </c>
      <c r="I62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29</v>
      </c>
      <c r="J626" t="s">
        <v>631</v>
      </c>
      <c r="K626" t="str">
        <f>RIGHT(Tabla2[[#This Row],[codigo_producto]],LEN(Tabla2[[#This Row],[codigo_producto]])-FIND("/",Tabla2[[#This Row],[codigo_producto]]))</f>
        <v>TANQLENT7GL</v>
      </c>
      <c r="L626" t="str">
        <f>LEFT(Tabla2[[#This Row],[codigo_producto]],FIND("/",Tabla2[[#This Row],[codigo_producto]])-1)</f>
        <v>1</v>
      </c>
      <c r="M62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627" spans="1:13" x14ac:dyDescent="0.25">
      <c r="A627" t="s">
        <v>3447</v>
      </c>
      <c r="B627" t="s">
        <v>2155</v>
      </c>
      <c r="C627" t="s">
        <v>2155</v>
      </c>
      <c r="D627">
        <v>32</v>
      </c>
      <c r="E627">
        <v>8</v>
      </c>
      <c r="F627">
        <v>9</v>
      </c>
      <c r="G627">
        <v>12</v>
      </c>
      <c r="H627" t="s">
        <v>2814</v>
      </c>
      <c r="I62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27" t="s">
        <v>632</v>
      </c>
      <c r="K627" t="str">
        <f>RIGHT(Tabla2[[#This Row],[codigo_producto]],LEN(Tabla2[[#This Row],[codigo_producto]])-FIND("/",Tabla2[[#This Row],[codigo_producto]]))</f>
        <v>VASO14DZIRE</v>
      </c>
      <c r="L627" t="str">
        <f>LEFT(Tabla2[[#This Row],[codigo_producto]],FIND("/",Tabla2[[#This Row],[codigo_producto]])-1)</f>
        <v>1</v>
      </c>
      <c r="M62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628" spans="1:13" x14ac:dyDescent="0.25">
      <c r="A628" t="s">
        <v>3448</v>
      </c>
      <c r="B628" t="s">
        <v>2156</v>
      </c>
      <c r="C628" t="s">
        <v>2156</v>
      </c>
      <c r="D628">
        <v>32</v>
      </c>
      <c r="E628">
        <v>13</v>
      </c>
      <c r="F628">
        <v>9</v>
      </c>
      <c r="G628">
        <v>12</v>
      </c>
      <c r="H628" t="s">
        <v>2814</v>
      </c>
      <c r="I62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28" t="s">
        <v>633</v>
      </c>
      <c r="K628" t="str">
        <f>RIGHT(Tabla2[[#This Row],[codigo_producto]],LEN(Tabla2[[#This Row],[codigo_producto]])-FIND("/",Tabla2[[#This Row],[codigo_producto]]))</f>
        <v>1014003350</v>
      </c>
      <c r="L628" t="str">
        <f>LEFT(Tabla2[[#This Row],[codigo_producto]],FIND("/",Tabla2[[#This Row],[codigo_producto]])-1)</f>
        <v>10</v>
      </c>
      <c r="M62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629" spans="1:13" x14ac:dyDescent="0.25">
      <c r="A629" t="s">
        <v>3449</v>
      </c>
      <c r="B629" t="s">
        <v>2157</v>
      </c>
      <c r="C629" t="s">
        <v>2157</v>
      </c>
      <c r="D629">
        <v>32</v>
      </c>
      <c r="E629">
        <v>13</v>
      </c>
      <c r="F629">
        <v>9</v>
      </c>
      <c r="G629">
        <v>12</v>
      </c>
      <c r="H629" t="s">
        <v>2814</v>
      </c>
      <c r="I62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29" t="s">
        <v>634</v>
      </c>
      <c r="K629" t="str">
        <f>RIGHT(Tabla2[[#This Row],[codigo_producto]],LEN(Tabla2[[#This Row],[codigo_producto]])-FIND("/",Tabla2[[#This Row],[codigo_producto]]))</f>
        <v>CAMRG-185W</v>
      </c>
      <c r="L629" t="str">
        <f>LEFT(Tabla2[[#This Row],[codigo_producto]],FIND("/",Tabla2[[#This Row],[codigo_producto]])-1)</f>
        <v>10</v>
      </c>
      <c r="M62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630" spans="1:13" x14ac:dyDescent="0.25">
      <c r="A630" t="s">
        <v>3450</v>
      </c>
      <c r="B630" t="s">
        <v>2158</v>
      </c>
      <c r="C630" t="s">
        <v>2158</v>
      </c>
      <c r="D630">
        <v>21</v>
      </c>
      <c r="E630">
        <v>13</v>
      </c>
      <c r="F630">
        <v>9</v>
      </c>
      <c r="G630">
        <v>12</v>
      </c>
      <c r="H630" t="s">
        <v>2820</v>
      </c>
      <c r="I63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21</v>
      </c>
      <c r="J630" t="s">
        <v>635</v>
      </c>
      <c r="K630" t="str">
        <f>RIGHT(Tabla2[[#This Row],[codigo_producto]],LEN(Tabla2[[#This Row],[codigo_producto]])-FIND("/",Tabla2[[#This Row],[codigo_producto]]))</f>
        <v>KITSEGCX70</v>
      </c>
      <c r="L630" t="str">
        <f>LEFT(Tabla2[[#This Row],[codigo_producto]],FIND("/",Tabla2[[#This Row],[codigo_producto]])-1)</f>
        <v>10</v>
      </c>
      <c r="M63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631" spans="1:13" x14ac:dyDescent="0.25">
      <c r="A631" t="s">
        <v>3451</v>
      </c>
      <c r="B631" t="s">
        <v>2159</v>
      </c>
      <c r="C631" t="s">
        <v>2159</v>
      </c>
      <c r="D631">
        <v>22</v>
      </c>
      <c r="E631">
        <v>13</v>
      </c>
      <c r="F631">
        <v>9</v>
      </c>
      <c r="G631">
        <v>12</v>
      </c>
      <c r="H631" t="s">
        <v>2815</v>
      </c>
      <c r="I63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631" t="s">
        <v>636</v>
      </c>
      <c r="K631" t="str">
        <f>RIGHT(Tabla2[[#This Row],[codigo_producto]],LEN(Tabla2[[#This Row],[codigo_producto]])-FIND("/",Tabla2[[#This Row],[codigo_producto]]))</f>
        <v>KITSEGNGH6</v>
      </c>
      <c r="L631" t="str">
        <f>LEFT(Tabla2[[#This Row],[codigo_producto]],FIND("/",Tabla2[[#This Row],[codigo_producto]])-1)</f>
        <v>10</v>
      </c>
      <c r="M63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632" spans="1:13" x14ac:dyDescent="0.25">
      <c r="A632" t="s">
        <v>3452</v>
      </c>
      <c r="B632" t="s">
        <v>2160</v>
      </c>
      <c r="C632" t="s">
        <v>2160</v>
      </c>
      <c r="D632">
        <v>32</v>
      </c>
      <c r="E632">
        <v>13</v>
      </c>
      <c r="F632">
        <v>9</v>
      </c>
      <c r="G632">
        <v>12</v>
      </c>
      <c r="H632" t="s">
        <v>2814</v>
      </c>
      <c r="I63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32" t="s">
        <v>637</v>
      </c>
      <c r="K632" t="str">
        <f>RIGHT(Tabla2[[#This Row],[codigo_producto]],LEN(Tabla2[[#This Row],[codigo_producto]])-FIND("/",Tabla2[[#This Row],[codigo_producto]]))</f>
        <v>LAMINACH05</v>
      </c>
      <c r="L632" t="str">
        <f>LEFT(Tabla2[[#This Row],[codigo_producto]],FIND("/",Tabla2[[#This Row],[codigo_producto]])-1)</f>
        <v>10</v>
      </c>
      <c r="M63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633" spans="1:13" x14ac:dyDescent="0.25">
      <c r="A633" t="s">
        <v>3453</v>
      </c>
      <c r="B633" t="s">
        <v>2161</v>
      </c>
      <c r="C633" t="s">
        <v>2161</v>
      </c>
      <c r="D633">
        <v>22</v>
      </c>
      <c r="E633">
        <v>13</v>
      </c>
      <c r="F633">
        <v>9</v>
      </c>
      <c r="G633">
        <v>12</v>
      </c>
      <c r="H633" t="s">
        <v>2815</v>
      </c>
      <c r="I63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633" t="s">
        <v>638</v>
      </c>
      <c r="K633" t="str">
        <f>RIGHT(Tabla2[[#This Row],[codigo_producto]],LEN(Tabla2[[#This Row],[codigo_producto]])-FIND("/",Tabla2[[#This Row],[codigo_producto]]))</f>
        <v>LAMINACH20</v>
      </c>
      <c r="L633" t="str">
        <f>LEFT(Tabla2[[#This Row],[codigo_producto]],FIND("/",Tabla2[[#This Row],[codigo_producto]])-1)</f>
        <v>10</v>
      </c>
      <c r="M63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634" spans="1:13" x14ac:dyDescent="0.25">
      <c r="A634" t="s">
        <v>3454</v>
      </c>
      <c r="B634" t="s">
        <v>2162</v>
      </c>
      <c r="C634" t="s">
        <v>2162</v>
      </c>
      <c r="D634">
        <v>22</v>
      </c>
      <c r="E634">
        <v>13</v>
      </c>
      <c r="F634">
        <v>9</v>
      </c>
      <c r="G634">
        <v>12</v>
      </c>
      <c r="H634" t="s">
        <v>2815</v>
      </c>
      <c r="I63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634" t="s">
        <v>639</v>
      </c>
      <c r="K634" t="str">
        <f>RIGHT(Tabla2[[#This Row],[codigo_producto]],LEN(Tabla2[[#This Row],[codigo_producto]])-FIND("/",Tabla2[[#This Row],[codigo_producto]]))</f>
        <v>LAMINACH35</v>
      </c>
      <c r="L634" t="str">
        <f>LEFT(Tabla2[[#This Row],[codigo_producto]],FIND("/",Tabla2[[#This Row],[codigo_producto]])-1)</f>
        <v>10</v>
      </c>
      <c r="M63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635" spans="1:13" x14ac:dyDescent="0.25">
      <c r="A635" t="s">
        <v>3455</v>
      </c>
      <c r="B635" t="s">
        <v>2163</v>
      </c>
      <c r="C635" t="s">
        <v>2163</v>
      </c>
      <c r="D635">
        <v>22</v>
      </c>
      <c r="E635">
        <v>13</v>
      </c>
      <c r="F635">
        <v>9</v>
      </c>
      <c r="G635">
        <v>12</v>
      </c>
      <c r="H635" t="s">
        <v>2815</v>
      </c>
      <c r="I63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635" t="s">
        <v>640</v>
      </c>
      <c r="K635" t="str">
        <f>RIGHT(Tabla2[[#This Row],[codigo_producto]],LEN(Tabla2[[#This Row],[codigo_producto]])-FIND("/",Tabla2[[#This Row],[codigo_producto]]))</f>
        <v>LAMINACH50</v>
      </c>
      <c r="L635" t="str">
        <f>LEFT(Tabla2[[#This Row],[codigo_producto]],FIND("/",Tabla2[[#This Row],[codigo_producto]])-1)</f>
        <v>10</v>
      </c>
      <c r="M63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636" spans="1:13" x14ac:dyDescent="0.25">
      <c r="A636" t="s">
        <v>3456</v>
      </c>
      <c r="B636" t="s">
        <v>2164</v>
      </c>
      <c r="C636" t="s">
        <v>2164</v>
      </c>
      <c r="D636">
        <v>25</v>
      </c>
      <c r="E636">
        <v>13</v>
      </c>
      <c r="F636">
        <v>9</v>
      </c>
      <c r="G636">
        <v>12</v>
      </c>
      <c r="H636" t="s">
        <v>2816</v>
      </c>
      <c r="I63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636" t="s">
        <v>641</v>
      </c>
      <c r="K636" t="str">
        <f>RIGHT(Tabla2[[#This Row],[codigo_producto]],LEN(Tabla2[[#This Row],[codigo_producto]])-FIND("/",Tabla2[[#This Row],[codigo_producto]]))</f>
        <v>LUBACTVE12</v>
      </c>
      <c r="L636" t="str">
        <f>LEFT(Tabla2[[#This Row],[codigo_producto]],FIND("/",Tabla2[[#This Row],[codigo_producto]])-1)</f>
        <v>10</v>
      </c>
      <c r="M63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637" spans="1:13" x14ac:dyDescent="0.25">
      <c r="A637" t="s">
        <v>3457</v>
      </c>
      <c r="B637" t="s">
        <v>2165</v>
      </c>
      <c r="C637" t="s">
        <v>2165</v>
      </c>
      <c r="D637">
        <v>32</v>
      </c>
      <c r="E637">
        <v>13</v>
      </c>
      <c r="F637">
        <v>9</v>
      </c>
      <c r="G637">
        <v>12</v>
      </c>
      <c r="H637" t="s">
        <v>2814</v>
      </c>
      <c r="I63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37" t="s">
        <v>642</v>
      </c>
      <c r="K637" t="str">
        <f>RIGHT(Tabla2[[#This Row],[codigo_producto]],LEN(Tabla2[[#This Row],[codigo_producto]])-FIND("/",Tabla2[[#This Row],[codigo_producto]]))</f>
        <v>LUBEVO04CL</v>
      </c>
      <c r="L637" t="str">
        <f>LEFT(Tabla2[[#This Row],[codigo_producto]],FIND("/",Tabla2[[#This Row],[codigo_producto]])-1)</f>
        <v>10</v>
      </c>
      <c r="M63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638" spans="1:13" x14ac:dyDescent="0.25">
      <c r="A638" t="s">
        <v>3458</v>
      </c>
      <c r="B638" t="s">
        <v>2166</v>
      </c>
      <c r="C638" t="s">
        <v>2166</v>
      </c>
      <c r="D638">
        <v>32</v>
      </c>
      <c r="E638">
        <v>13</v>
      </c>
      <c r="F638">
        <v>9</v>
      </c>
      <c r="G638">
        <v>12</v>
      </c>
      <c r="H638" t="s">
        <v>2814</v>
      </c>
      <c r="I63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38" t="s">
        <v>643</v>
      </c>
      <c r="K638" t="str">
        <f>RIGHT(Tabla2[[#This Row],[codigo_producto]],LEN(Tabla2[[#This Row],[codigo_producto]])-FIND("/",Tabla2[[#This Row],[codigo_producto]]))</f>
        <v>LUBULT04CC</v>
      </c>
      <c r="L638" t="str">
        <f>LEFT(Tabla2[[#This Row],[codigo_producto]],FIND("/",Tabla2[[#This Row],[codigo_producto]])-1)</f>
        <v>10</v>
      </c>
      <c r="M63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639" spans="1:13" x14ac:dyDescent="0.25">
      <c r="A639" t="s">
        <v>3459</v>
      </c>
      <c r="B639" t="s">
        <v>2167</v>
      </c>
      <c r="C639" t="s">
        <v>2167</v>
      </c>
      <c r="D639">
        <v>25</v>
      </c>
      <c r="E639">
        <v>13</v>
      </c>
      <c r="F639">
        <v>9</v>
      </c>
      <c r="G639">
        <v>12</v>
      </c>
      <c r="H639" t="s">
        <v>2816</v>
      </c>
      <c r="I63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639" t="s">
        <v>644</v>
      </c>
      <c r="K639" t="str">
        <f>RIGHT(Tabla2[[#This Row],[codigo_producto]],LEN(Tabla2[[#This Row],[codigo_producto]])-FIND("/",Tabla2[[#This Row],[codigo_producto]]))</f>
        <v>LUBULT06PE</v>
      </c>
      <c r="L639" t="str">
        <f>LEFT(Tabla2[[#This Row],[codigo_producto]],FIND("/",Tabla2[[#This Row],[codigo_producto]])-1)</f>
        <v>10</v>
      </c>
      <c r="M63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640" spans="1:13" x14ac:dyDescent="0.25">
      <c r="A640" t="s">
        <v>3460</v>
      </c>
      <c r="B640" t="s">
        <v>2168</v>
      </c>
      <c r="C640" t="s">
        <v>2168</v>
      </c>
      <c r="D640">
        <v>25</v>
      </c>
      <c r="E640">
        <v>13</v>
      </c>
      <c r="F640">
        <v>9</v>
      </c>
      <c r="G640">
        <v>12</v>
      </c>
      <c r="H640" t="s">
        <v>2816</v>
      </c>
      <c r="I64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640" t="s">
        <v>645</v>
      </c>
      <c r="K640" t="str">
        <f>RIGHT(Tabla2[[#This Row],[codigo_producto]],LEN(Tabla2[[#This Row],[codigo_producto]])-FIND("/",Tabla2[[#This Row],[codigo_producto]]))</f>
        <v>LUBULT10PE</v>
      </c>
      <c r="L640" t="str">
        <f>LEFT(Tabla2[[#This Row],[codigo_producto]],FIND("/",Tabla2[[#This Row],[codigo_producto]])-1)</f>
        <v>10</v>
      </c>
      <c r="M64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641" spans="1:13" x14ac:dyDescent="0.25">
      <c r="A641" t="s">
        <v>3461</v>
      </c>
      <c r="B641" t="s">
        <v>1770</v>
      </c>
      <c r="C641" t="s">
        <v>1770</v>
      </c>
      <c r="D641">
        <v>32</v>
      </c>
      <c r="E641">
        <v>13</v>
      </c>
      <c r="F641">
        <v>9</v>
      </c>
      <c r="G641">
        <v>12</v>
      </c>
      <c r="H641" t="s">
        <v>2814</v>
      </c>
      <c r="I64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41" t="s">
        <v>646</v>
      </c>
      <c r="K641" t="str">
        <f>RIGHT(Tabla2[[#This Row],[codigo_producto]],LEN(Tabla2[[#This Row],[codigo_producto]])-FIND("/",Tabla2[[#This Row],[codigo_producto]]))</f>
        <v>LUBULT15CL</v>
      </c>
      <c r="L641" t="str">
        <f>LEFT(Tabla2[[#This Row],[codigo_producto]],FIND("/",Tabla2[[#This Row],[codigo_producto]])-1)</f>
        <v>10</v>
      </c>
      <c r="M64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642" spans="1:13" x14ac:dyDescent="0.25">
      <c r="A642" t="s">
        <v>3462</v>
      </c>
      <c r="B642" t="s">
        <v>1771</v>
      </c>
      <c r="C642" t="s">
        <v>1771</v>
      </c>
      <c r="D642">
        <v>32</v>
      </c>
      <c r="E642">
        <v>13</v>
      </c>
      <c r="F642">
        <v>9</v>
      </c>
      <c r="G642">
        <v>12</v>
      </c>
      <c r="H642" t="s">
        <v>2814</v>
      </c>
      <c r="I64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42" t="s">
        <v>647</v>
      </c>
      <c r="K642" t="str">
        <f>RIGHT(Tabla2[[#This Row],[codigo_producto]],LEN(Tabla2[[#This Row],[codigo_producto]])-FIND("/",Tabla2[[#This Row],[codigo_producto]]))</f>
        <v>LUBULT16CC</v>
      </c>
      <c r="L642" t="str">
        <f>LEFT(Tabla2[[#This Row],[codigo_producto]],FIND("/",Tabla2[[#This Row],[codigo_producto]])-1)</f>
        <v>10</v>
      </c>
      <c r="M64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643" spans="1:13" x14ac:dyDescent="0.25">
      <c r="A643" t="s">
        <v>3463</v>
      </c>
      <c r="B643" t="s">
        <v>2169</v>
      </c>
      <c r="C643" t="s">
        <v>2169</v>
      </c>
      <c r="D643">
        <v>32</v>
      </c>
      <c r="E643">
        <v>13</v>
      </c>
      <c r="F643">
        <v>9</v>
      </c>
      <c r="G643">
        <v>12</v>
      </c>
      <c r="H643" t="s">
        <v>2814</v>
      </c>
      <c r="I64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43" t="s">
        <v>648</v>
      </c>
      <c r="K643" t="str">
        <f>RIGHT(Tabla2[[#This Row],[codigo_producto]],LEN(Tabla2[[#This Row],[codigo_producto]])-FIND("/",Tabla2[[#This Row],[codigo_producto]]))</f>
        <v>N1KITSEGT9</v>
      </c>
      <c r="L643" t="str">
        <f>LEFT(Tabla2[[#This Row],[codigo_producto]],FIND("/",Tabla2[[#This Row],[codigo_producto]])-1)</f>
        <v>10</v>
      </c>
      <c r="M64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644" spans="1:13" x14ac:dyDescent="0.25">
      <c r="A644" t="s">
        <v>3464</v>
      </c>
      <c r="B644" t="s">
        <v>2170</v>
      </c>
      <c r="C644" t="s">
        <v>2170</v>
      </c>
      <c r="D644">
        <v>32</v>
      </c>
      <c r="E644">
        <v>13</v>
      </c>
      <c r="F644">
        <v>9</v>
      </c>
      <c r="G644">
        <v>12</v>
      </c>
      <c r="H644" t="s">
        <v>2814</v>
      </c>
      <c r="I64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44" t="s">
        <v>649</v>
      </c>
      <c r="K644" t="str">
        <f>RIGHT(Tabla2[[#This Row],[codigo_producto]],LEN(Tabla2[[#This Row],[codigo_producto]])-FIND("/",Tabla2[[#This Row],[codigo_producto]]))</f>
        <v>Q360B10DRL</v>
      </c>
      <c r="L644" t="str">
        <f>LEFT(Tabla2[[#This Row],[codigo_producto]],FIND("/",Tabla2[[#This Row],[codigo_producto]])-1)</f>
        <v>10</v>
      </c>
      <c r="M64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645" spans="1:13" x14ac:dyDescent="0.25">
      <c r="A645" t="s">
        <v>3465</v>
      </c>
      <c r="B645" t="s">
        <v>2171</v>
      </c>
      <c r="C645" t="s">
        <v>2171</v>
      </c>
      <c r="D645">
        <v>32</v>
      </c>
      <c r="E645">
        <v>13</v>
      </c>
      <c r="F645">
        <v>9</v>
      </c>
      <c r="G645">
        <v>12</v>
      </c>
      <c r="H645" t="s">
        <v>2814</v>
      </c>
      <c r="I64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45" t="s">
        <v>650</v>
      </c>
      <c r="K645" t="str">
        <f>RIGHT(Tabla2[[#This Row],[codigo_producto]],LEN(Tabla2[[#This Row],[codigo_producto]])-FIND("/",Tabla2[[#This Row],[codigo_producto]]))</f>
        <v>Q360B12DRL</v>
      </c>
      <c r="L645" t="str">
        <f>LEFT(Tabla2[[#This Row],[codigo_producto]],FIND("/",Tabla2[[#This Row],[codigo_producto]])-1)</f>
        <v>10</v>
      </c>
      <c r="M64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646" spans="1:13" x14ac:dyDescent="0.25">
      <c r="A646" t="s">
        <v>3466</v>
      </c>
      <c r="B646" t="s">
        <v>1884</v>
      </c>
      <c r="C646" t="s">
        <v>1884</v>
      </c>
      <c r="D646">
        <v>31</v>
      </c>
      <c r="E646">
        <v>9</v>
      </c>
      <c r="F646">
        <v>9</v>
      </c>
      <c r="G646">
        <v>12</v>
      </c>
      <c r="H646" t="s">
        <v>2818</v>
      </c>
      <c r="I64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646" t="s">
        <v>651</v>
      </c>
      <c r="K646" t="str">
        <f>RIGHT(Tabla2[[#This Row],[codigo_producto]],LEN(Tabla2[[#This Row],[codigo_producto]])-FIND("/",Tabla2[[#This Row],[codigo_producto]]))</f>
        <v>1026106GAA</v>
      </c>
      <c r="L646" t="str">
        <f>LEFT(Tabla2[[#This Row],[codigo_producto]],FIND("/",Tabla2[[#This Row],[codigo_producto]])-1)</f>
        <v>11</v>
      </c>
      <c r="M64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9</v>
      </c>
    </row>
    <row r="647" spans="1:13" x14ac:dyDescent="0.25">
      <c r="A647" t="s">
        <v>3467</v>
      </c>
      <c r="B647" t="s">
        <v>2172</v>
      </c>
      <c r="C647" t="s">
        <v>2172</v>
      </c>
      <c r="D647">
        <v>31</v>
      </c>
      <c r="E647">
        <v>9</v>
      </c>
      <c r="F647">
        <v>9</v>
      </c>
      <c r="G647">
        <v>12</v>
      </c>
      <c r="H647" t="s">
        <v>2818</v>
      </c>
      <c r="I64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647" t="s">
        <v>652</v>
      </c>
      <c r="K647" t="str">
        <f>RIGHT(Tabla2[[#This Row],[codigo_producto]],LEN(Tabla2[[#This Row],[codigo_producto]])-FIND("/",Tabla2[[#This Row],[codigo_producto]]))</f>
        <v>4208040740</v>
      </c>
      <c r="L647" t="str">
        <f>LEFT(Tabla2[[#This Row],[codigo_producto]],FIND("/",Tabla2[[#This Row],[codigo_producto]])-1)</f>
        <v>11</v>
      </c>
      <c r="M64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9</v>
      </c>
    </row>
    <row r="648" spans="1:13" x14ac:dyDescent="0.25">
      <c r="A648" t="s">
        <v>3468</v>
      </c>
      <c r="B648" t="s">
        <v>2173</v>
      </c>
      <c r="C648" t="s">
        <v>2173</v>
      </c>
      <c r="D648">
        <v>32</v>
      </c>
      <c r="E648">
        <v>6</v>
      </c>
      <c r="F648">
        <v>9</v>
      </c>
      <c r="G648">
        <v>12</v>
      </c>
      <c r="H648" t="s">
        <v>2814</v>
      </c>
      <c r="I64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48" t="s">
        <v>653</v>
      </c>
      <c r="K648" t="str">
        <f>RIGHT(Tabla2[[#This Row],[codigo_producto]],LEN(Tabla2[[#This Row],[codigo_producto]])-FIND("/",Tabla2[[#This Row],[codigo_producto]]))</f>
        <v>1D0013680RL</v>
      </c>
      <c r="L648" t="str">
        <f>LEFT(Tabla2[[#This Row],[codigo_producto]],FIND("/",Tabla2[[#This Row],[codigo_producto]])-1)</f>
        <v>2</v>
      </c>
      <c r="M64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649" spans="1:13" x14ac:dyDescent="0.25">
      <c r="A649" t="s">
        <v>3469</v>
      </c>
      <c r="B649" t="s">
        <v>2174</v>
      </c>
      <c r="C649" t="s">
        <v>2174</v>
      </c>
      <c r="D649">
        <v>32</v>
      </c>
      <c r="E649">
        <v>6</v>
      </c>
      <c r="F649">
        <v>9</v>
      </c>
      <c r="G649">
        <v>12</v>
      </c>
      <c r="H649" t="s">
        <v>2814</v>
      </c>
      <c r="I64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49" t="s">
        <v>654</v>
      </c>
      <c r="K649" t="str">
        <f>RIGHT(Tabla2[[#This Row],[codigo_producto]],LEN(Tabla2[[#This Row],[codigo_producto]])-FIND("/",Tabla2[[#This Row],[codigo_producto]]))</f>
        <v>1D0188YF8RL</v>
      </c>
      <c r="L649" t="str">
        <f>LEFT(Tabla2[[#This Row],[codigo_producto]],FIND("/",Tabla2[[#This Row],[codigo_producto]])-1)</f>
        <v>2</v>
      </c>
      <c r="M64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650" spans="1:13" x14ac:dyDescent="0.25">
      <c r="A650" t="s">
        <v>3470</v>
      </c>
      <c r="B650" t="s">
        <v>2175</v>
      </c>
      <c r="C650" t="s">
        <v>2175</v>
      </c>
      <c r="D650">
        <v>32</v>
      </c>
      <c r="E650">
        <v>6</v>
      </c>
      <c r="F650">
        <v>9</v>
      </c>
      <c r="G650">
        <v>12</v>
      </c>
      <c r="H650" t="s">
        <v>2814</v>
      </c>
      <c r="I65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50" t="s">
        <v>655</v>
      </c>
      <c r="K650" t="str">
        <f>RIGHT(Tabla2[[#This Row],[codigo_producto]],LEN(Tabla2[[#This Row],[codigo_producto]])-FIND("/",Tabla2[[#This Row],[codigo_producto]]))</f>
        <v>E2Z457K80RL</v>
      </c>
      <c r="L650" t="str">
        <f>LEFT(Tabla2[[#This Row],[codigo_producto]],FIND("/",Tabla2[[#This Row],[codigo_producto]])-1)</f>
        <v>2</v>
      </c>
      <c r="M65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651" spans="1:13" x14ac:dyDescent="0.25">
      <c r="A651" t="s">
        <v>3471</v>
      </c>
      <c r="B651" t="s">
        <v>2176</v>
      </c>
      <c r="C651" t="s">
        <v>2176</v>
      </c>
      <c r="D651">
        <v>32</v>
      </c>
      <c r="E651">
        <v>6</v>
      </c>
      <c r="F651">
        <v>9</v>
      </c>
      <c r="G651">
        <v>12</v>
      </c>
      <c r="H651" t="s">
        <v>2814</v>
      </c>
      <c r="I65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51" t="s">
        <v>656</v>
      </c>
      <c r="K651" t="str">
        <f>RIGHT(Tabla2[[#This Row],[codigo_producto]],LEN(Tabla2[[#This Row],[codigo_producto]])-FIND("/",Tabla2[[#This Row],[codigo_producto]]))</f>
        <v>GRYB57K80RL</v>
      </c>
      <c r="L651" t="str">
        <f>LEFT(Tabla2[[#This Row],[codigo_producto]],FIND("/",Tabla2[[#This Row],[codigo_producto]])-1)</f>
        <v>2</v>
      </c>
      <c r="M65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652" spans="1:13" x14ac:dyDescent="0.25">
      <c r="A652" t="s">
        <v>3472</v>
      </c>
      <c r="B652" t="s">
        <v>2177</v>
      </c>
      <c r="C652" t="s">
        <v>2177</v>
      </c>
      <c r="D652">
        <v>32</v>
      </c>
      <c r="E652">
        <v>6</v>
      </c>
      <c r="F652">
        <v>9</v>
      </c>
      <c r="G652">
        <v>12</v>
      </c>
      <c r="H652" t="s">
        <v>2814</v>
      </c>
      <c r="I65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52" t="s">
        <v>657</v>
      </c>
      <c r="K652" t="str">
        <f>RIGHT(Tabla2[[#This Row],[codigo_producto]],LEN(Tabla2[[#This Row],[codigo_producto]])-FIND("/",Tabla2[[#This Row],[codigo_producto]]))</f>
        <v>S2Y357K80RL</v>
      </c>
      <c r="L652" t="str">
        <f>LEFT(Tabla2[[#This Row],[codigo_producto]],FIND("/",Tabla2[[#This Row],[codigo_producto]])-1)</f>
        <v>2</v>
      </c>
      <c r="M65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653" spans="1:13" x14ac:dyDescent="0.25">
      <c r="A653" t="s">
        <v>3473</v>
      </c>
      <c r="B653" t="s">
        <v>2178</v>
      </c>
      <c r="C653" t="s">
        <v>2178</v>
      </c>
      <c r="D653">
        <v>22</v>
      </c>
      <c r="E653">
        <v>6</v>
      </c>
      <c r="F653">
        <v>9</v>
      </c>
      <c r="G653">
        <v>12</v>
      </c>
      <c r="H653" t="s">
        <v>2815</v>
      </c>
      <c r="I65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653" t="s">
        <v>658</v>
      </c>
      <c r="K653" t="str">
        <f>RIGHT(Tabla2[[#This Row],[codigo_producto]],LEN(Tabla2[[#This Row],[codigo_producto]])-FIND("/",Tabla2[[#This Row],[codigo_producto]]))</f>
        <v>SEGLLANBT50</v>
      </c>
      <c r="L653" t="str">
        <f>LEFT(Tabla2[[#This Row],[codigo_producto]],FIND("/",Tabla2[[#This Row],[codigo_producto]])-1)</f>
        <v>2</v>
      </c>
      <c r="M65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654" spans="1:13" x14ac:dyDescent="0.25">
      <c r="A654" t="s">
        <v>3474</v>
      </c>
      <c r="B654" t="s">
        <v>2179</v>
      </c>
      <c r="C654" t="s">
        <v>2179</v>
      </c>
      <c r="D654">
        <v>32</v>
      </c>
      <c r="E654">
        <v>6</v>
      </c>
      <c r="F654">
        <v>9</v>
      </c>
      <c r="G654">
        <v>12</v>
      </c>
      <c r="H654" t="s">
        <v>2814</v>
      </c>
      <c r="I65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54" t="s">
        <v>659</v>
      </c>
      <c r="K654" t="str">
        <f>RIGHT(Tabla2[[#This Row],[codigo_producto]],LEN(Tabla2[[#This Row],[codigo_producto]])-FIND("/",Tabla2[[#This Row],[codigo_producto]]))</f>
        <v>U2Y115YG0RL</v>
      </c>
      <c r="L654" t="str">
        <f>LEFT(Tabla2[[#This Row],[codigo_producto]],FIND("/",Tabla2[[#This Row],[codigo_producto]])-1)</f>
        <v>2</v>
      </c>
      <c r="M65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655" spans="1:13" x14ac:dyDescent="0.25">
      <c r="A655" t="s">
        <v>3475</v>
      </c>
      <c r="B655" t="s">
        <v>2180</v>
      </c>
      <c r="C655" t="s">
        <v>2180</v>
      </c>
      <c r="D655">
        <v>32</v>
      </c>
      <c r="E655">
        <v>6</v>
      </c>
      <c r="F655">
        <v>9</v>
      </c>
      <c r="G655">
        <v>12</v>
      </c>
      <c r="H655" t="s">
        <v>2814</v>
      </c>
      <c r="I65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55" t="s">
        <v>660</v>
      </c>
      <c r="K655" t="str">
        <f>RIGHT(Tabla2[[#This Row],[codigo_producto]],LEN(Tabla2[[#This Row],[codigo_producto]])-FIND("/",Tabla2[[#This Row],[codigo_producto]]))</f>
        <v>URZ457K80RL</v>
      </c>
      <c r="L655" t="str">
        <f>LEFT(Tabla2[[#This Row],[codigo_producto]],FIND("/",Tabla2[[#This Row],[codigo_producto]])-1)</f>
        <v>2</v>
      </c>
      <c r="M65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656" spans="1:13" x14ac:dyDescent="0.25">
      <c r="A656" t="s">
        <v>3476</v>
      </c>
      <c r="B656" t="s">
        <v>2181</v>
      </c>
      <c r="C656" t="s">
        <v>2181</v>
      </c>
      <c r="D656">
        <v>32</v>
      </c>
      <c r="E656">
        <v>3</v>
      </c>
      <c r="F656">
        <v>9</v>
      </c>
      <c r="G656">
        <v>12</v>
      </c>
      <c r="H656" t="s">
        <v>2814</v>
      </c>
      <c r="I65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56" t="s">
        <v>661</v>
      </c>
      <c r="K656" t="str">
        <f>RIGHT(Tabla2[[#This Row],[codigo_producto]],LEN(Tabla2[[#This Row],[codigo_producto]])-FIND("/",Tabla2[[#This Row],[codigo_producto]]))</f>
        <v>1017100ED01</v>
      </c>
      <c r="L656" t="str">
        <f>LEFT(Tabla2[[#This Row],[codigo_producto]],FIND("/",Tabla2[[#This Row],[codigo_producto]])-1)</f>
        <v>5</v>
      </c>
      <c r="M65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657" spans="1:13" x14ac:dyDescent="0.25">
      <c r="A657" t="s">
        <v>3477</v>
      </c>
      <c r="B657" t="s">
        <v>2182</v>
      </c>
      <c r="C657" t="s">
        <v>2182</v>
      </c>
      <c r="D657">
        <v>32</v>
      </c>
      <c r="E657">
        <v>3</v>
      </c>
      <c r="F657">
        <v>9</v>
      </c>
      <c r="G657">
        <v>12</v>
      </c>
      <c r="H657" t="s">
        <v>2814</v>
      </c>
      <c r="I65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57" t="s">
        <v>662</v>
      </c>
      <c r="K657" t="str">
        <f>RIGHT(Tabla2[[#This Row],[codigo_producto]],LEN(Tabla2[[#This Row],[codigo_producto]])-FIND("/",Tabla2[[#This Row],[codigo_producto]]))</f>
        <v>1017100EG01</v>
      </c>
      <c r="L657" t="str">
        <f>LEFT(Tabla2[[#This Row],[codigo_producto]],FIND("/",Tabla2[[#This Row],[codigo_producto]])-1)</f>
        <v>5</v>
      </c>
      <c r="M65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658" spans="1:13" x14ac:dyDescent="0.25">
      <c r="A658" t="s">
        <v>3478</v>
      </c>
      <c r="B658" t="s">
        <v>1901</v>
      </c>
      <c r="C658" t="s">
        <v>1901</v>
      </c>
      <c r="D658">
        <v>32</v>
      </c>
      <c r="E658">
        <v>3</v>
      </c>
      <c r="F658">
        <v>9</v>
      </c>
      <c r="G658">
        <v>12</v>
      </c>
      <c r="H658" t="s">
        <v>2814</v>
      </c>
      <c r="I65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58" t="s">
        <v>663</v>
      </c>
      <c r="K658" t="str">
        <f>RIGHT(Tabla2[[#This Row],[codigo_producto]],LEN(Tabla2[[#This Row],[codigo_producto]])-FIND("/",Tabla2[[#This Row],[codigo_producto]]))</f>
        <v>1021013ED01</v>
      </c>
      <c r="L658" t="str">
        <f>LEFT(Tabla2[[#This Row],[codigo_producto]],FIND("/",Tabla2[[#This Row],[codigo_producto]])-1)</f>
        <v>5</v>
      </c>
      <c r="M65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659" spans="1:13" x14ac:dyDescent="0.25">
      <c r="A659" t="s">
        <v>3479</v>
      </c>
      <c r="B659" t="s">
        <v>2183</v>
      </c>
      <c r="C659" t="s">
        <v>2183</v>
      </c>
      <c r="D659">
        <v>32</v>
      </c>
      <c r="E659">
        <v>3</v>
      </c>
      <c r="F659">
        <v>9</v>
      </c>
      <c r="G659">
        <v>12</v>
      </c>
      <c r="H659" t="s">
        <v>2814</v>
      </c>
      <c r="I65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59" t="s">
        <v>664</v>
      </c>
      <c r="K659" t="str">
        <f>RIGHT(Tabla2[[#This Row],[codigo_producto]],LEN(Tabla2[[#This Row],[codigo_producto]])-FIND("/",Tabla2[[#This Row],[codigo_producto]]))</f>
        <v>1021200ED01</v>
      </c>
      <c r="L659" t="str">
        <f>LEFT(Tabla2[[#This Row],[codigo_producto]],FIND("/",Tabla2[[#This Row],[codigo_producto]])-1)</f>
        <v>5</v>
      </c>
      <c r="M65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660" spans="1:13" x14ac:dyDescent="0.25">
      <c r="A660" t="s">
        <v>3480</v>
      </c>
      <c r="B660" t="s">
        <v>2184</v>
      </c>
      <c r="C660" t="s">
        <v>2184</v>
      </c>
      <c r="D660">
        <v>32</v>
      </c>
      <c r="E660">
        <v>3</v>
      </c>
      <c r="F660">
        <v>9</v>
      </c>
      <c r="G660">
        <v>12</v>
      </c>
      <c r="H660" t="s">
        <v>2814</v>
      </c>
      <c r="I66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60" t="s">
        <v>665</v>
      </c>
      <c r="K660" t="str">
        <f>RIGHT(Tabla2[[#This Row],[codigo_producto]],LEN(Tabla2[[#This Row],[codigo_producto]])-FIND("/",Tabla2[[#This Row],[codigo_producto]]))</f>
        <v>1021700ED01</v>
      </c>
      <c r="L660" t="str">
        <f>LEFT(Tabla2[[#This Row],[codigo_producto]],FIND("/",Tabla2[[#This Row],[codigo_producto]])-1)</f>
        <v>5</v>
      </c>
      <c r="M66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661" spans="1:13" x14ac:dyDescent="0.25">
      <c r="A661" t="s">
        <v>3481</v>
      </c>
      <c r="B661" t="s">
        <v>1803</v>
      </c>
      <c r="C661" t="s">
        <v>1803</v>
      </c>
      <c r="D661">
        <v>32</v>
      </c>
      <c r="E661">
        <v>3</v>
      </c>
      <c r="F661">
        <v>9</v>
      </c>
      <c r="G661">
        <v>12</v>
      </c>
      <c r="H661" t="s">
        <v>2814</v>
      </c>
      <c r="I66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61" t="s">
        <v>666</v>
      </c>
      <c r="K661" t="str">
        <f>RIGHT(Tabla2[[#This Row],[codigo_producto]],LEN(Tabla2[[#This Row],[codigo_producto]])-FIND("/",Tabla2[[#This Row],[codigo_producto]]))</f>
        <v>1306100ED01</v>
      </c>
      <c r="L661" t="str">
        <f>LEFT(Tabla2[[#This Row],[codigo_producto]],FIND("/",Tabla2[[#This Row],[codigo_producto]])-1)</f>
        <v>5</v>
      </c>
      <c r="M66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662" spans="1:13" x14ac:dyDescent="0.25">
      <c r="A662" t="s">
        <v>3482</v>
      </c>
      <c r="B662" t="s">
        <v>1803</v>
      </c>
      <c r="C662" t="s">
        <v>1803</v>
      </c>
      <c r="D662">
        <v>32</v>
      </c>
      <c r="E662">
        <v>3</v>
      </c>
      <c r="F662">
        <v>9</v>
      </c>
      <c r="G662">
        <v>12</v>
      </c>
      <c r="H662" t="s">
        <v>2814</v>
      </c>
      <c r="I66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62" t="s">
        <v>667</v>
      </c>
      <c r="K662" t="str">
        <f>RIGHT(Tabla2[[#This Row],[codigo_producto]],LEN(Tabla2[[#This Row],[codigo_producto]])-FIND("/",Tabla2[[#This Row],[codigo_producto]]))</f>
        <v>1306100EG01</v>
      </c>
      <c r="L662" t="str">
        <f>LEFT(Tabla2[[#This Row],[codigo_producto]],FIND("/",Tabla2[[#This Row],[codigo_producto]])-1)</f>
        <v>5</v>
      </c>
      <c r="M66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663" spans="1:13" x14ac:dyDescent="0.25">
      <c r="A663" t="s">
        <v>3483</v>
      </c>
      <c r="B663" t="s">
        <v>2086</v>
      </c>
      <c r="C663" t="s">
        <v>2086</v>
      </c>
      <c r="D663">
        <v>32</v>
      </c>
      <c r="E663">
        <v>3</v>
      </c>
      <c r="F663">
        <v>9</v>
      </c>
      <c r="G663">
        <v>12</v>
      </c>
      <c r="H663" t="s">
        <v>2814</v>
      </c>
      <c r="I66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63" t="s">
        <v>668</v>
      </c>
      <c r="K663" t="str">
        <f>RIGHT(Tabla2[[#This Row],[codigo_producto]],LEN(Tabla2[[#This Row],[codigo_producto]])-FIND("/",Tabla2[[#This Row],[codigo_producto]]))</f>
        <v>1307012-E09</v>
      </c>
      <c r="L663" t="str">
        <f>LEFT(Tabla2[[#This Row],[codigo_producto]],FIND("/",Tabla2[[#This Row],[codigo_producto]])-1)</f>
        <v>5</v>
      </c>
      <c r="M66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664" spans="1:13" x14ac:dyDescent="0.25">
      <c r="A664" t="s">
        <v>3484</v>
      </c>
      <c r="B664" t="s">
        <v>2185</v>
      </c>
      <c r="C664" t="s">
        <v>2185</v>
      </c>
      <c r="D664">
        <v>32</v>
      </c>
      <c r="E664">
        <v>3</v>
      </c>
      <c r="F664">
        <v>9</v>
      </c>
      <c r="G664">
        <v>12</v>
      </c>
      <c r="H664" t="s">
        <v>2814</v>
      </c>
      <c r="I66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64" t="s">
        <v>669</v>
      </c>
      <c r="K664" t="str">
        <f>RIGHT(Tabla2[[#This Row],[codigo_producto]],LEN(Tabla2[[#This Row],[codigo_producto]])-FIND("/",Tabla2[[#This Row],[codigo_producto]]))</f>
        <v>1307012ED01</v>
      </c>
      <c r="L664" t="str">
        <f>LEFT(Tabla2[[#This Row],[codigo_producto]],FIND("/",Tabla2[[#This Row],[codigo_producto]])-1)</f>
        <v>5</v>
      </c>
      <c r="M66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665" spans="1:13" x14ac:dyDescent="0.25">
      <c r="A665" t="s">
        <v>3485</v>
      </c>
      <c r="B665" t="s">
        <v>2093</v>
      </c>
      <c r="C665" t="s">
        <v>2093</v>
      </c>
      <c r="D665">
        <v>32</v>
      </c>
      <c r="E665">
        <v>3</v>
      </c>
      <c r="F665">
        <v>9</v>
      </c>
      <c r="G665">
        <v>12</v>
      </c>
      <c r="H665" t="s">
        <v>2814</v>
      </c>
      <c r="I66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65" t="s">
        <v>670</v>
      </c>
      <c r="K665" t="str">
        <f>RIGHT(Tabla2[[#This Row],[codigo_producto]],LEN(Tabla2[[#This Row],[codigo_producto]])-FIND("/",Tabla2[[#This Row],[codigo_producto]]))</f>
        <v>3412011AK08</v>
      </c>
      <c r="L665" t="str">
        <f>LEFT(Tabla2[[#This Row],[codigo_producto]],FIND("/",Tabla2[[#This Row],[codigo_producto]])-1)</f>
        <v>5</v>
      </c>
      <c r="M66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666" spans="1:13" x14ac:dyDescent="0.25">
      <c r="A666" t="s">
        <v>3486</v>
      </c>
      <c r="B666" t="s">
        <v>2186</v>
      </c>
      <c r="C666" t="s">
        <v>2186</v>
      </c>
      <c r="D666">
        <v>32</v>
      </c>
      <c r="E666">
        <v>2</v>
      </c>
      <c r="F666">
        <v>9</v>
      </c>
      <c r="G666">
        <v>12</v>
      </c>
      <c r="H666" t="s">
        <v>2814</v>
      </c>
      <c r="I66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66" t="s">
        <v>671</v>
      </c>
      <c r="K666" t="str">
        <f>RIGHT(Tabla2[[#This Row],[codigo_producto]],LEN(Tabla2[[#This Row],[codigo_producto]])-FIND("/",Tabla2[[#This Row],[codigo_producto]]))</f>
        <v>1606267680</v>
      </c>
      <c r="L666" t="str">
        <f>LEFT(Tabla2[[#This Row],[codigo_producto]],FIND("/",Tabla2[[#This Row],[codigo_producto]])-1)</f>
        <v>59</v>
      </c>
      <c r="M66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67" spans="1:13" x14ac:dyDescent="0.25">
      <c r="A667" t="s">
        <v>3487</v>
      </c>
      <c r="B667" t="s">
        <v>2187</v>
      </c>
      <c r="C667" t="s">
        <v>2187</v>
      </c>
      <c r="D667">
        <v>32</v>
      </c>
      <c r="E667">
        <v>2</v>
      </c>
      <c r="F667">
        <v>9</v>
      </c>
      <c r="G667">
        <v>12</v>
      </c>
      <c r="H667" t="s">
        <v>2814</v>
      </c>
      <c r="I66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67" t="s">
        <v>672</v>
      </c>
      <c r="K667" t="str">
        <f>RIGHT(Tabla2[[#This Row],[codigo_producto]],LEN(Tabla2[[#This Row],[codigo_producto]])-FIND("/",Tabla2[[#This Row],[codigo_producto]]))</f>
        <v>1606402680</v>
      </c>
      <c r="L667" t="str">
        <f>LEFT(Tabla2[[#This Row],[codigo_producto]],FIND("/",Tabla2[[#This Row],[codigo_producto]])-1)</f>
        <v>59</v>
      </c>
      <c r="M66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68" spans="1:13" x14ac:dyDescent="0.25">
      <c r="A668" t="s">
        <v>3488</v>
      </c>
      <c r="B668" t="s">
        <v>2188</v>
      </c>
      <c r="C668" t="s">
        <v>2188</v>
      </c>
      <c r="D668">
        <v>32</v>
      </c>
      <c r="E668">
        <v>2</v>
      </c>
      <c r="F668">
        <v>9</v>
      </c>
      <c r="G668">
        <v>12</v>
      </c>
      <c r="H668" t="s">
        <v>2814</v>
      </c>
      <c r="I66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68" t="s">
        <v>673</v>
      </c>
      <c r="K668" t="str">
        <f>RIGHT(Tabla2[[#This Row],[codigo_producto]],LEN(Tabla2[[#This Row],[codigo_producto]])-FIND("/",Tabla2[[#This Row],[codigo_producto]]))</f>
        <v>1608691680</v>
      </c>
      <c r="L668" t="str">
        <f>LEFT(Tabla2[[#This Row],[codigo_producto]],FIND("/",Tabla2[[#This Row],[codigo_producto]])-1)</f>
        <v>59</v>
      </c>
      <c r="M66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69" spans="1:13" x14ac:dyDescent="0.25">
      <c r="A669" t="s">
        <v>3489</v>
      </c>
      <c r="B669" t="s">
        <v>2189</v>
      </c>
      <c r="C669" t="s">
        <v>2189</v>
      </c>
      <c r="D669">
        <v>32</v>
      </c>
      <c r="E669">
        <v>2</v>
      </c>
      <c r="F669">
        <v>9</v>
      </c>
      <c r="G669">
        <v>12</v>
      </c>
      <c r="H669" t="s">
        <v>2814</v>
      </c>
      <c r="I66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69" t="s">
        <v>674</v>
      </c>
      <c r="K669" t="str">
        <f>RIGHT(Tabla2[[#This Row],[codigo_producto]],LEN(Tabla2[[#This Row],[codigo_producto]])-FIND("/",Tabla2[[#This Row],[codigo_producto]]))</f>
        <v>1609065580</v>
      </c>
      <c r="L669" t="str">
        <f>LEFT(Tabla2[[#This Row],[codigo_producto]],FIND("/",Tabla2[[#This Row],[codigo_producto]])-1)</f>
        <v>59</v>
      </c>
      <c r="M66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70" spans="1:13" x14ac:dyDescent="0.25">
      <c r="A670" t="s">
        <v>3490</v>
      </c>
      <c r="B670" t="s">
        <v>2190</v>
      </c>
      <c r="C670" t="s">
        <v>2190</v>
      </c>
      <c r="D670">
        <v>32</v>
      </c>
      <c r="E670">
        <v>2</v>
      </c>
      <c r="F670">
        <v>9</v>
      </c>
      <c r="G670">
        <v>12</v>
      </c>
      <c r="H670" t="s">
        <v>2814</v>
      </c>
      <c r="I67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70" t="s">
        <v>675</v>
      </c>
      <c r="K670" t="str">
        <f>RIGHT(Tabla2[[#This Row],[codigo_producto]],LEN(Tabla2[[#This Row],[codigo_producto]])-FIND("/",Tabla2[[#This Row],[codigo_producto]]))</f>
        <v>1609428180</v>
      </c>
      <c r="L670" t="str">
        <f>LEFT(Tabla2[[#This Row],[codigo_producto]],FIND("/",Tabla2[[#This Row],[codigo_producto]])-1)</f>
        <v>59</v>
      </c>
      <c r="M67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71" spans="1:13" x14ac:dyDescent="0.25">
      <c r="A671" t="s">
        <v>3491</v>
      </c>
      <c r="B671" t="s">
        <v>2191</v>
      </c>
      <c r="C671" t="s">
        <v>2191</v>
      </c>
      <c r="D671">
        <v>32</v>
      </c>
      <c r="E671">
        <v>2</v>
      </c>
      <c r="F671">
        <v>9</v>
      </c>
      <c r="G671">
        <v>12</v>
      </c>
      <c r="H671" t="s">
        <v>2814</v>
      </c>
      <c r="I67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71" t="s">
        <v>676</v>
      </c>
      <c r="K671" t="str">
        <f>RIGHT(Tabla2[[#This Row],[codigo_producto]],LEN(Tabla2[[#This Row],[codigo_producto]])-FIND("/",Tabla2[[#This Row],[codigo_producto]]))</f>
        <v>1609583080</v>
      </c>
      <c r="L671" t="str">
        <f>LEFT(Tabla2[[#This Row],[codigo_producto]],FIND("/",Tabla2[[#This Row],[codigo_producto]])-1)</f>
        <v>59</v>
      </c>
      <c r="M67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72" spans="1:13" x14ac:dyDescent="0.25">
      <c r="A672" t="s">
        <v>3492</v>
      </c>
      <c r="B672" t="s">
        <v>2184</v>
      </c>
      <c r="C672" t="s">
        <v>2184</v>
      </c>
      <c r="D672">
        <v>32</v>
      </c>
      <c r="E672">
        <v>2</v>
      </c>
      <c r="F672">
        <v>9</v>
      </c>
      <c r="G672">
        <v>12</v>
      </c>
      <c r="H672" t="s">
        <v>2814</v>
      </c>
      <c r="I67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72" t="s">
        <v>677</v>
      </c>
      <c r="K672" t="str">
        <f>RIGHT(Tabla2[[#This Row],[codigo_producto]],LEN(Tabla2[[#This Row],[codigo_producto]])-FIND("/",Tabla2[[#This Row],[codigo_producto]]))</f>
        <v>1611425780</v>
      </c>
      <c r="L672" t="str">
        <f>LEFT(Tabla2[[#This Row],[codigo_producto]],FIND("/",Tabla2[[#This Row],[codigo_producto]])-1)</f>
        <v>59</v>
      </c>
      <c r="M67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73" spans="1:13" x14ac:dyDescent="0.25">
      <c r="A673" t="s">
        <v>3493</v>
      </c>
      <c r="B673" t="s">
        <v>2001</v>
      </c>
      <c r="C673" t="s">
        <v>2001</v>
      </c>
      <c r="D673">
        <v>32</v>
      </c>
      <c r="E673">
        <v>2</v>
      </c>
      <c r="F673">
        <v>9</v>
      </c>
      <c r="G673">
        <v>12</v>
      </c>
      <c r="H673" t="s">
        <v>2814</v>
      </c>
      <c r="I67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73" t="s">
        <v>678</v>
      </c>
      <c r="K673" t="str">
        <f>RIGHT(Tabla2[[#This Row],[codigo_producto]],LEN(Tabla2[[#This Row],[codigo_producto]])-FIND("/",Tabla2[[#This Row],[codigo_producto]]))</f>
        <v>1613704080</v>
      </c>
      <c r="L673" t="str">
        <f>LEFT(Tabla2[[#This Row],[codigo_producto]],FIND("/",Tabla2[[#This Row],[codigo_producto]])-1)</f>
        <v>59</v>
      </c>
      <c r="M67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74" spans="1:13" x14ac:dyDescent="0.25">
      <c r="A674" t="s">
        <v>3494</v>
      </c>
      <c r="B674" t="s">
        <v>2192</v>
      </c>
      <c r="C674" t="s">
        <v>2192</v>
      </c>
      <c r="D674">
        <v>32</v>
      </c>
      <c r="E674">
        <v>2</v>
      </c>
      <c r="F674">
        <v>9</v>
      </c>
      <c r="G674">
        <v>12</v>
      </c>
      <c r="H674" t="s">
        <v>2814</v>
      </c>
      <c r="I67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74" t="s">
        <v>679</v>
      </c>
      <c r="K674" t="str">
        <f>RIGHT(Tabla2[[#This Row],[codigo_producto]],LEN(Tabla2[[#This Row],[codigo_producto]])-FIND("/",Tabla2[[#This Row],[codigo_producto]]))</f>
        <v>1615049280</v>
      </c>
      <c r="L674" t="str">
        <f>LEFT(Tabla2[[#This Row],[codigo_producto]],FIND("/",Tabla2[[#This Row],[codigo_producto]])-1)</f>
        <v>59</v>
      </c>
      <c r="M67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75" spans="1:13" x14ac:dyDescent="0.25">
      <c r="A675" t="s">
        <v>3495</v>
      </c>
      <c r="B675" t="s">
        <v>2191</v>
      </c>
      <c r="C675" t="s">
        <v>2191</v>
      </c>
      <c r="D675">
        <v>32</v>
      </c>
      <c r="E675">
        <v>2</v>
      </c>
      <c r="F675">
        <v>9</v>
      </c>
      <c r="G675">
        <v>12</v>
      </c>
      <c r="H675" t="s">
        <v>2814</v>
      </c>
      <c r="I67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75" t="s">
        <v>680</v>
      </c>
      <c r="K675" t="str">
        <f>RIGHT(Tabla2[[#This Row],[codigo_producto]],LEN(Tabla2[[#This Row],[codigo_producto]])-FIND("/",Tabla2[[#This Row],[codigo_producto]]))</f>
        <v>1616394580</v>
      </c>
      <c r="L675" t="str">
        <f>LEFT(Tabla2[[#This Row],[codigo_producto]],FIND("/",Tabla2[[#This Row],[codigo_producto]])-1)</f>
        <v>59</v>
      </c>
      <c r="M67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76" spans="1:13" x14ac:dyDescent="0.25">
      <c r="A676" t="s">
        <v>3496</v>
      </c>
      <c r="B676" t="s">
        <v>2193</v>
      </c>
      <c r="C676" t="s">
        <v>2193</v>
      </c>
      <c r="D676">
        <v>32</v>
      </c>
      <c r="E676">
        <v>2</v>
      </c>
      <c r="F676">
        <v>9</v>
      </c>
      <c r="G676">
        <v>12</v>
      </c>
      <c r="H676" t="s">
        <v>2814</v>
      </c>
      <c r="I67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76" t="s">
        <v>681</v>
      </c>
      <c r="K676" t="str">
        <f>RIGHT(Tabla2[[#This Row],[codigo_producto]],LEN(Tabla2[[#This Row],[codigo_producto]])-FIND("/",Tabla2[[#This Row],[codigo_producto]]))</f>
        <v>1616883480</v>
      </c>
      <c r="L676" t="str">
        <f>LEFT(Tabla2[[#This Row],[codigo_producto]],FIND("/",Tabla2[[#This Row],[codigo_producto]])-1)</f>
        <v>59</v>
      </c>
      <c r="M67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77" spans="1:13" x14ac:dyDescent="0.25">
      <c r="A677" t="s">
        <v>3497</v>
      </c>
      <c r="B677" t="s">
        <v>2194</v>
      </c>
      <c r="C677" t="s">
        <v>2194</v>
      </c>
      <c r="D677">
        <v>32</v>
      </c>
      <c r="E677">
        <v>2</v>
      </c>
      <c r="F677">
        <v>9</v>
      </c>
      <c r="G677">
        <v>12</v>
      </c>
      <c r="H677" t="s">
        <v>2814</v>
      </c>
      <c r="I67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77" t="s">
        <v>682</v>
      </c>
      <c r="K677" t="str">
        <f>RIGHT(Tabla2[[#This Row],[codigo_producto]],LEN(Tabla2[[#This Row],[codigo_producto]])-FIND("/",Tabla2[[#This Row],[codigo_producto]]))</f>
        <v>1629038380</v>
      </c>
      <c r="L677" t="str">
        <f>LEFT(Tabla2[[#This Row],[codigo_producto]],FIND("/",Tabla2[[#This Row],[codigo_producto]])-1)</f>
        <v>59</v>
      </c>
      <c r="M67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78" spans="1:13" x14ac:dyDescent="0.25">
      <c r="A678" t="s">
        <v>3498</v>
      </c>
      <c r="B678" t="s">
        <v>1964</v>
      </c>
      <c r="C678" t="s">
        <v>1964</v>
      </c>
      <c r="D678">
        <v>32</v>
      </c>
      <c r="E678">
        <v>2</v>
      </c>
      <c r="F678">
        <v>9</v>
      </c>
      <c r="G678">
        <v>12</v>
      </c>
      <c r="H678" t="s">
        <v>2814</v>
      </c>
      <c r="I67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78" t="s">
        <v>683</v>
      </c>
      <c r="K678" t="str">
        <f>RIGHT(Tabla2[[#This Row],[codigo_producto]],LEN(Tabla2[[#This Row],[codigo_producto]])-FIND("/",Tabla2[[#This Row],[codigo_producto]]))</f>
        <v>1631831780</v>
      </c>
      <c r="L678" t="str">
        <f>LEFT(Tabla2[[#This Row],[codigo_producto]],FIND("/",Tabla2[[#This Row],[codigo_producto]])-1)</f>
        <v>59</v>
      </c>
      <c r="M67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79" spans="1:13" x14ac:dyDescent="0.25">
      <c r="A679" t="s">
        <v>3499</v>
      </c>
      <c r="B679" t="s">
        <v>2195</v>
      </c>
      <c r="C679" t="s">
        <v>2195</v>
      </c>
      <c r="D679">
        <v>25</v>
      </c>
      <c r="E679">
        <v>2</v>
      </c>
      <c r="F679">
        <v>9</v>
      </c>
      <c r="G679">
        <v>12</v>
      </c>
      <c r="H679" t="s">
        <v>2816</v>
      </c>
      <c r="I67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679" t="s">
        <v>684</v>
      </c>
      <c r="K679" t="str">
        <f>RIGHT(Tabla2[[#This Row],[codigo_producto]],LEN(Tabla2[[#This Row],[codigo_producto]])-FIND("/",Tabla2[[#This Row],[codigo_producto]]))</f>
        <v>1635511180</v>
      </c>
      <c r="L679" t="str">
        <f>LEFT(Tabla2[[#This Row],[codigo_producto]],FIND("/",Tabla2[[#This Row],[codigo_producto]])-1)</f>
        <v>59</v>
      </c>
      <c r="M67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80" spans="1:13" x14ac:dyDescent="0.25">
      <c r="A680" t="s">
        <v>3500</v>
      </c>
      <c r="B680" t="s">
        <v>2196</v>
      </c>
      <c r="C680" t="s">
        <v>2196</v>
      </c>
      <c r="D680">
        <v>25</v>
      </c>
      <c r="E680">
        <v>2</v>
      </c>
      <c r="F680">
        <v>9</v>
      </c>
      <c r="G680">
        <v>12</v>
      </c>
      <c r="H680" t="s">
        <v>2816</v>
      </c>
      <c r="I68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680" t="s">
        <v>685</v>
      </c>
      <c r="K680" t="str">
        <f>RIGHT(Tabla2[[#This Row],[codigo_producto]],LEN(Tabla2[[#This Row],[codigo_producto]])-FIND("/",Tabla2[[#This Row],[codigo_producto]]))</f>
        <v>1635764180</v>
      </c>
      <c r="L680" t="str">
        <f>LEFT(Tabla2[[#This Row],[codigo_producto]],FIND("/",Tabla2[[#This Row],[codigo_producto]])-1)</f>
        <v>59</v>
      </c>
      <c r="M68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81" spans="1:13" x14ac:dyDescent="0.25">
      <c r="A681" t="s">
        <v>3501</v>
      </c>
      <c r="B681" t="s">
        <v>2197</v>
      </c>
      <c r="C681" t="s">
        <v>2197</v>
      </c>
      <c r="D681">
        <v>25</v>
      </c>
      <c r="E681">
        <v>2</v>
      </c>
      <c r="F681">
        <v>9</v>
      </c>
      <c r="G681">
        <v>12</v>
      </c>
      <c r="H681" t="s">
        <v>2816</v>
      </c>
      <c r="I68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681" t="s">
        <v>686</v>
      </c>
      <c r="K681" t="str">
        <f>RIGHT(Tabla2[[#This Row],[codigo_producto]],LEN(Tabla2[[#This Row],[codigo_producto]])-FIND("/",Tabla2[[#This Row],[codigo_producto]]))</f>
        <v>1635764980</v>
      </c>
      <c r="L681" t="str">
        <f>LEFT(Tabla2[[#This Row],[codigo_producto]],FIND("/",Tabla2[[#This Row],[codigo_producto]])-1)</f>
        <v>59</v>
      </c>
      <c r="M68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82" spans="1:13" x14ac:dyDescent="0.25">
      <c r="A682" t="s">
        <v>3502</v>
      </c>
      <c r="B682" t="s">
        <v>2198</v>
      </c>
      <c r="C682" t="s">
        <v>2198</v>
      </c>
      <c r="D682">
        <v>32</v>
      </c>
      <c r="E682">
        <v>2</v>
      </c>
      <c r="F682">
        <v>9</v>
      </c>
      <c r="G682">
        <v>12</v>
      </c>
      <c r="H682" t="s">
        <v>2814</v>
      </c>
      <c r="I68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82" t="s">
        <v>687</v>
      </c>
      <c r="K682" t="str">
        <f>RIGHT(Tabla2[[#This Row],[codigo_producto]],LEN(Tabla2[[#This Row],[codigo_producto]])-FIND("/",Tabla2[[#This Row],[codigo_producto]]))</f>
        <v>1638498080</v>
      </c>
      <c r="L682" t="str">
        <f>LEFT(Tabla2[[#This Row],[codigo_producto]],FIND("/",Tabla2[[#This Row],[codigo_producto]])-1)</f>
        <v>59</v>
      </c>
      <c r="M68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83" spans="1:13" x14ac:dyDescent="0.25">
      <c r="A683" t="s">
        <v>3503</v>
      </c>
      <c r="B683" t="s">
        <v>1722</v>
      </c>
      <c r="C683" t="s">
        <v>1722</v>
      </c>
      <c r="D683">
        <v>32</v>
      </c>
      <c r="E683">
        <v>2</v>
      </c>
      <c r="F683">
        <v>9</v>
      </c>
      <c r="G683">
        <v>12</v>
      </c>
      <c r="H683" t="s">
        <v>2814</v>
      </c>
      <c r="I68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83" t="s">
        <v>688</v>
      </c>
      <c r="K683" t="str">
        <f>RIGHT(Tabla2[[#This Row],[codigo_producto]],LEN(Tabla2[[#This Row],[codigo_producto]])-FIND("/",Tabla2[[#This Row],[codigo_producto]]))</f>
        <v>1647862480</v>
      </c>
      <c r="L683" t="str">
        <f>LEFT(Tabla2[[#This Row],[codigo_producto]],FIND("/",Tabla2[[#This Row],[codigo_producto]])-1)</f>
        <v>59</v>
      </c>
      <c r="M68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84" spans="1:13" x14ac:dyDescent="0.25">
      <c r="A684" t="s">
        <v>3504</v>
      </c>
      <c r="B684" t="s">
        <v>2199</v>
      </c>
      <c r="C684" t="s">
        <v>2199</v>
      </c>
      <c r="D684">
        <v>32</v>
      </c>
      <c r="E684">
        <v>2</v>
      </c>
      <c r="F684">
        <v>9</v>
      </c>
      <c r="G684">
        <v>12</v>
      </c>
      <c r="H684" t="s">
        <v>2814</v>
      </c>
      <c r="I68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84" t="s">
        <v>689</v>
      </c>
      <c r="K684" t="str">
        <f>RIGHT(Tabla2[[#This Row],[codigo_producto]],LEN(Tabla2[[#This Row],[codigo_producto]])-FIND("/",Tabla2[[#This Row],[codigo_producto]]))</f>
        <v>1647863480</v>
      </c>
      <c r="L684" t="str">
        <f>LEFT(Tabla2[[#This Row],[codigo_producto]],FIND("/",Tabla2[[#This Row],[codigo_producto]])-1)</f>
        <v>59</v>
      </c>
      <c r="M68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85" spans="1:13" x14ac:dyDescent="0.25">
      <c r="A685" t="s">
        <v>3505</v>
      </c>
      <c r="B685" t="s">
        <v>2200</v>
      </c>
      <c r="C685" t="s">
        <v>2200</v>
      </c>
      <c r="D685">
        <v>32</v>
      </c>
      <c r="E685">
        <v>2</v>
      </c>
      <c r="F685">
        <v>9</v>
      </c>
      <c r="G685">
        <v>12</v>
      </c>
      <c r="H685" t="s">
        <v>2814</v>
      </c>
      <c r="I68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85" t="s">
        <v>690</v>
      </c>
      <c r="K685" t="str">
        <f>RIGHT(Tabla2[[#This Row],[codigo_producto]],LEN(Tabla2[[#This Row],[codigo_producto]])-FIND("/",Tabla2[[#This Row],[codigo_producto]]))</f>
        <v>1647863580</v>
      </c>
      <c r="L685" t="str">
        <f>LEFT(Tabla2[[#This Row],[codigo_producto]],FIND("/",Tabla2[[#This Row],[codigo_producto]])-1)</f>
        <v>59</v>
      </c>
      <c r="M68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86" spans="1:13" x14ac:dyDescent="0.25">
      <c r="A686" t="s">
        <v>3506</v>
      </c>
      <c r="B686" t="s">
        <v>2201</v>
      </c>
      <c r="C686" t="s">
        <v>2201</v>
      </c>
      <c r="D686">
        <v>32</v>
      </c>
      <c r="E686">
        <v>2</v>
      </c>
      <c r="F686">
        <v>9</v>
      </c>
      <c r="G686">
        <v>12</v>
      </c>
      <c r="H686" t="s">
        <v>2814</v>
      </c>
      <c r="I68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86" t="s">
        <v>691</v>
      </c>
      <c r="K686" t="str">
        <f>RIGHT(Tabla2[[#This Row],[codigo_producto]],LEN(Tabla2[[#This Row],[codigo_producto]])-FIND("/",Tabla2[[#This Row],[codigo_producto]]))</f>
        <v>1647874380</v>
      </c>
      <c r="L686" t="str">
        <f>LEFT(Tabla2[[#This Row],[codigo_producto]],FIND("/",Tabla2[[#This Row],[codigo_producto]])-1)</f>
        <v>59</v>
      </c>
      <c r="M68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87" spans="1:13" x14ac:dyDescent="0.25">
      <c r="A687" t="s">
        <v>3507</v>
      </c>
      <c r="B687" t="s">
        <v>2202</v>
      </c>
      <c r="C687" t="s">
        <v>2202</v>
      </c>
      <c r="D687">
        <v>32</v>
      </c>
      <c r="E687">
        <v>2</v>
      </c>
      <c r="F687">
        <v>9</v>
      </c>
      <c r="G687">
        <v>12</v>
      </c>
      <c r="H687" t="s">
        <v>2814</v>
      </c>
      <c r="I68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87" t="s">
        <v>692</v>
      </c>
      <c r="K687" t="str">
        <f>RIGHT(Tabla2[[#This Row],[codigo_producto]],LEN(Tabla2[[#This Row],[codigo_producto]])-FIND("/",Tabla2[[#This Row],[codigo_producto]]))</f>
        <v>1647880280</v>
      </c>
      <c r="L687" t="str">
        <f>LEFT(Tabla2[[#This Row],[codigo_producto]],FIND("/",Tabla2[[#This Row],[codigo_producto]])-1)</f>
        <v>59</v>
      </c>
      <c r="M68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88" spans="1:13" x14ac:dyDescent="0.25">
      <c r="A688" t="s">
        <v>3508</v>
      </c>
      <c r="B688" t="s">
        <v>1721</v>
      </c>
      <c r="C688" t="s">
        <v>1721</v>
      </c>
      <c r="D688">
        <v>32</v>
      </c>
      <c r="E688">
        <v>2</v>
      </c>
      <c r="F688">
        <v>9</v>
      </c>
      <c r="G688">
        <v>12</v>
      </c>
      <c r="H688" t="s">
        <v>2814</v>
      </c>
      <c r="I68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88" t="s">
        <v>693</v>
      </c>
      <c r="K688" t="str">
        <f>RIGHT(Tabla2[[#This Row],[codigo_producto]],LEN(Tabla2[[#This Row],[codigo_producto]])-FIND("/",Tabla2[[#This Row],[codigo_producto]]))</f>
        <v>1647883380</v>
      </c>
      <c r="L688" t="str">
        <f>LEFT(Tabla2[[#This Row],[codigo_producto]],FIND("/",Tabla2[[#This Row],[codigo_producto]])-1)</f>
        <v>59</v>
      </c>
      <c r="M68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89" spans="1:13" x14ac:dyDescent="0.25">
      <c r="A689" t="s">
        <v>3509</v>
      </c>
      <c r="B689" t="s">
        <v>2203</v>
      </c>
      <c r="C689" t="s">
        <v>2203</v>
      </c>
      <c r="D689">
        <v>32</v>
      </c>
      <c r="E689">
        <v>2</v>
      </c>
      <c r="F689">
        <v>9</v>
      </c>
      <c r="G689">
        <v>12</v>
      </c>
      <c r="H689" t="s">
        <v>2814</v>
      </c>
      <c r="I68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89" t="s">
        <v>694</v>
      </c>
      <c r="K689" t="str">
        <f>RIGHT(Tabla2[[#This Row],[codigo_producto]],LEN(Tabla2[[#This Row],[codigo_producto]])-FIND("/",Tabla2[[#This Row],[codigo_producto]]))</f>
        <v>1654507180</v>
      </c>
      <c r="L689" t="str">
        <f>LEFT(Tabla2[[#This Row],[codigo_producto]],FIND("/",Tabla2[[#This Row],[codigo_producto]])-1)</f>
        <v>59</v>
      </c>
      <c r="M68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90" spans="1:13" x14ac:dyDescent="0.25">
      <c r="A690" t="s">
        <v>3510</v>
      </c>
      <c r="B690" t="s">
        <v>2204</v>
      </c>
      <c r="C690" t="s">
        <v>2204</v>
      </c>
      <c r="D690">
        <v>32</v>
      </c>
      <c r="E690">
        <v>2</v>
      </c>
      <c r="F690">
        <v>9</v>
      </c>
      <c r="G690">
        <v>12</v>
      </c>
      <c r="H690" t="s">
        <v>2814</v>
      </c>
      <c r="I69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90" t="s">
        <v>695</v>
      </c>
      <c r="K690" t="str">
        <f>RIGHT(Tabla2[[#This Row],[codigo_producto]],LEN(Tabla2[[#This Row],[codigo_producto]])-FIND("/",Tabla2[[#This Row],[codigo_producto]]))</f>
        <v>1654514280</v>
      </c>
      <c r="L690" t="str">
        <f>LEFT(Tabla2[[#This Row],[codigo_producto]],FIND("/",Tabla2[[#This Row],[codigo_producto]])-1)</f>
        <v>59</v>
      </c>
      <c r="M69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91" spans="1:13" x14ac:dyDescent="0.25">
      <c r="A691" t="s">
        <v>3511</v>
      </c>
      <c r="B691" t="s">
        <v>2205</v>
      </c>
      <c r="C691" t="s">
        <v>2205</v>
      </c>
      <c r="D691">
        <v>32</v>
      </c>
      <c r="E691">
        <v>2</v>
      </c>
      <c r="F691">
        <v>9</v>
      </c>
      <c r="G691">
        <v>12</v>
      </c>
      <c r="H691" t="s">
        <v>2814</v>
      </c>
      <c r="I69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91" t="s">
        <v>696</v>
      </c>
      <c r="K691" t="str">
        <f>RIGHT(Tabla2[[#This Row],[codigo_producto]],LEN(Tabla2[[#This Row],[codigo_producto]])-FIND("/",Tabla2[[#This Row],[codigo_producto]]))</f>
        <v>1654515880</v>
      </c>
      <c r="L691" t="str">
        <f>LEFT(Tabla2[[#This Row],[codigo_producto]],FIND("/",Tabla2[[#This Row],[codigo_producto]])-1)</f>
        <v>59</v>
      </c>
      <c r="M69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92" spans="1:13" x14ac:dyDescent="0.25">
      <c r="A692" t="s">
        <v>3512</v>
      </c>
      <c r="B692" t="s">
        <v>2206</v>
      </c>
      <c r="C692" t="s">
        <v>2206</v>
      </c>
      <c r="D692">
        <v>32</v>
      </c>
      <c r="E692">
        <v>2</v>
      </c>
      <c r="F692">
        <v>9</v>
      </c>
      <c r="G692">
        <v>12</v>
      </c>
      <c r="H692" t="s">
        <v>2814</v>
      </c>
      <c r="I69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92" t="s">
        <v>697</v>
      </c>
      <c r="K692" t="str">
        <f>RIGHT(Tabla2[[#This Row],[codigo_producto]],LEN(Tabla2[[#This Row],[codigo_producto]])-FIND("/",Tabla2[[#This Row],[codigo_producto]]))</f>
        <v>1654517280</v>
      </c>
      <c r="L692" t="str">
        <f>LEFT(Tabla2[[#This Row],[codigo_producto]],FIND("/",Tabla2[[#This Row],[codigo_producto]])-1)</f>
        <v>59</v>
      </c>
      <c r="M69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93" spans="1:13" x14ac:dyDescent="0.25">
      <c r="A693" t="s">
        <v>3513</v>
      </c>
      <c r="B693" t="s">
        <v>2207</v>
      </c>
      <c r="C693" t="s">
        <v>2207</v>
      </c>
      <c r="D693">
        <v>32</v>
      </c>
      <c r="E693">
        <v>2</v>
      </c>
      <c r="F693">
        <v>9</v>
      </c>
      <c r="G693">
        <v>12</v>
      </c>
      <c r="H693" t="s">
        <v>2814</v>
      </c>
      <c r="I69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93" t="s">
        <v>698</v>
      </c>
      <c r="K693" t="str">
        <f>RIGHT(Tabla2[[#This Row],[codigo_producto]],LEN(Tabla2[[#This Row],[codigo_producto]])-FIND("/",Tabla2[[#This Row],[codigo_producto]]))</f>
        <v>1673603880</v>
      </c>
      <c r="L693" t="str">
        <f>LEFT(Tabla2[[#This Row],[codigo_producto]],FIND("/",Tabla2[[#This Row],[codigo_producto]])-1)</f>
        <v>59</v>
      </c>
      <c r="M69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94" spans="1:13" x14ac:dyDescent="0.25">
      <c r="A694" t="s">
        <v>3514</v>
      </c>
      <c r="B694" t="s">
        <v>2208</v>
      </c>
      <c r="C694" t="s">
        <v>2208</v>
      </c>
      <c r="D694">
        <v>32</v>
      </c>
      <c r="E694">
        <v>2</v>
      </c>
      <c r="F694">
        <v>9</v>
      </c>
      <c r="G694">
        <v>12</v>
      </c>
      <c r="H694" t="s">
        <v>2814</v>
      </c>
      <c r="I69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94" t="s">
        <v>699</v>
      </c>
      <c r="K694" t="str">
        <f>RIGHT(Tabla2[[#This Row],[codigo_producto]],LEN(Tabla2[[#This Row],[codigo_producto]])-FIND("/",Tabla2[[#This Row],[codigo_producto]]))</f>
        <v>1680791780</v>
      </c>
      <c r="L694" t="str">
        <f>LEFT(Tabla2[[#This Row],[codigo_producto]],FIND("/",Tabla2[[#This Row],[codigo_producto]])-1)</f>
        <v>59</v>
      </c>
      <c r="M69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95" spans="1:13" x14ac:dyDescent="0.25">
      <c r="A695" t="s">
        <v>3515</v>
      </c>
      <c r="B695" t="s">
        <v>2209</v>
      </c>
      <c r="C695" t="s">
        <v>2209</v>
      </c>
      <c r="D695">
        <v>32</v>
      </c>
      <c r="E695">
        <v>2</v>
      </c>
      <c r="F695">
        <v>9</v>
      </c>
      <c r="G695">
        <v>12</v>
      </c>
      <c r="H695" t="s">
        <v>2814</v>
      </c>
      <c r="I69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95" t="s">
        <v>700</v>
      </c>
      <c r="K695" t="str">
        <f>RIGHT(Tabla2[[#This Row],[codigo_producto]],LEN(Tabla2[[#This Row],[codigo_producto]])-FIND("/",Tabla2[[#This Row],[codigo_producto]]))</f>
        <v>1682801680</v>
      </c>
      <c r="L695" t="str">
        <f>LEFT(Tabla2[[#This Row],[codigo_producto]],FIND("/",Tabla2[[#This Row],[codigo_producto]])-1)</f>
        <v>59</v>
      </c>
      <c r="M69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96" spans="1:13" x14ac:dyDescent="0.25">
      <c r="A696" t="s">
        <v>3516</v>
      </c>
      <c r="B696" t="s">
        <v>1715</v>
      </c>
      <c r="C696" t="s">
        <v>1715</v>
      </c>
      <c r="D696">
        <v>32</v>
      </c>
      <c r="E696">
        <v>2</v>
      </c>
      <c r="F696">
        <v>9</v>
      </c>
      <c r="G696">
        <v>12</v>
      </c>
      <c r="H696" t="s">
        <v>2814</v>
      </c>
      <c r="I69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96" t="s">
        <v>701</v>
      </c>
      <c r="K696" t="str">
        <f>RIGHT(Tabla2[[#This Row],[codigo_producto]],LEN(Tabla2[[#This Row],[codigo_producto]])-FIND("/",Tabla2[[#This Row],[codigo_producto]]))</f>
        <v>9674725580</v>
      </c>
      <c r="L696" t="str">
        <f>LEFT(Tabla2[[#This Row],[codigo_producto]],FIND("/",Tabla2[[#This Row],[codigo_producto]])-1)</f>
        <v>59</v>
      </c>
      <c r="M69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97" spans="1:13" x14ac:dyDescent="0.25">
      <c r="A697" t="s">
        <v>3517</v>
      </c>
      <c r="B697" t="s">
        <v>2210</v>
      </c>
      <c r="C697" t="s">
        <v>2210</v>
      </c>
      <c r="D697">
        <v>32</v>
      </c>
      <c r="E697">
        <v>2</v>
      </c>
      <c r="F697">
        <v>9</v>
      </c>
      <c r="G697">
        <v>12</v>
      </c>
      <c r="H697" t="s">
        <v>2814</v>
      </c>
      <c r="I69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97" t="s">
        <v>702</v>
      </c>
      <c r="K697" t="str">
        <f>RIGHT(Tabla2[[#This Row],[codigo_producto]],LEN(Tabla2[[#This Row],[codigo_producto]])-FIND("/",Tabla2[[#This Row],[codigo_producto]]))</f>
        <v>9675073180</v>
      </c>
      <c r="L697" t="str">
        <f>LEFT(Tabla2[[#This Row],[codigo_producto]],FIND("/",Tabla2[[#This Row],[codigo_producto]])-1)</f>
        <v>59</v>
      </c>
      <c r="M69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98" spans="1:13" x14ac:dyDescent="0.25">
      <c r="A698" t="s">
        <v>3518</v>
      </c>
      <c r="B698" t="s">
        <v>2211</v>
      </c>
      <c r="C698" t="s">
        <v>2211</v>
      </c>
      <c r="D698">
        <v>32</v>
      </c>
      <c r="E698">
        <v>2</v>
      </c>
      <c r="F698">
        <v>9</v>
      </c>
      <c r="G698">
        <v>12</v>
      </c>
      <c r="H698" t="s">
        <v>2814</v>
      </c>
      <c r="I69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98" t="s">
        <v>703</v>
      </c>
      <c r="K698" t="str">
        <f>RIGHT(Tabla2[[#This Row],[codigo_producto]],LEN(Tabla2[[#This Row],[codigo_producto]])-FIND("/",Tabla2[[#This Row],[codigo_producto]]))</f>
        <v>9675749480</v>
      </c>
      <c r="L698" t="str">
        <f>LEFT(Tabla2[[#This Row],[codigo_producto]],FIND("/",Tabla2[[#This Row],[codigo_producto]])-1)</f>
        <v>59</v>
      </c>
      <c r="M69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99" spans="1:13" x14ac:dyDescent="0.25">
      <c r="A699" t="s">
        <v>3519</v>
      </c>
      <c r="B699" t="s">
        <v>2212</v>
      </c>
      <c r="C699" t="s">
        <v>2212</v>
      </c>
      <c r="D699">
        <v>32</v>
      </c>
      <c r="E699">
        <v>2</v>
      </c>
      <c r="F699">
        <v>9</v>
      </c>
      <c r="G699">
        <v>12</v>
      </c>
      <c r="H699" t="s">
        <v>2814</v>
      </c>
      <c r="I69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99" t="s">
        <v>704</v>
      </c>
      <c r="K699" t="str">
        <f>RIGHT(Tabla2[[#This Row],[codigo_producto]],LEN(Tabla2[[#This Row],[codigo_producto]])-FIND("/",Tabla2[[#This Row],[codigo_producto]]))</f>
        <v>9675987380</v>
      </c>
      <c r="L699" t="str">
        <f>LEFT(Tabla2[[#This Row],[codigo_producto]],FIND("/",Tabla2[[#This Row],[codigo_producto]])-1)</f>
        <v>59</v>
      </c>
      <c r="M69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700" spans="1:13" x14ac:dyDescent="0.25">
      <c r="A700" t="s">
        <v>3520</v>
      </c>
      <c r="B700" t="s">
        <v>1884</v>
      </c>
      <c r="C700" t="s">
        <v>1884</v>
      </c>
      <c r="D700">
        <v>32</v>
      </c>
      <c r="E700">
        <v>2</v>
      </c>
      <c r="F700">
        <v>9</v>
      </c>
      <c r="G700">
        <v>12</v>
      </c>
      <c r="H700" t="s">
        <v>2814</v>
      </c>
      <c r="I70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00" t="s">
        <v>705</v>
      </c>
      <c r="K700" t="str">
        <f>RIGHT(Tabla2[[#This Row],[codigo_producto]],LEN(Tabla2[[#This Row],[codigo_producto]])-FIND("/",Tabla2[[#This Row],[codigo_producto]]))</f>
        <v>9676288180</v>
      </c>
      <c r="L700" t="str">
        <f>LEFT(Tabla2[[#This Row],[codigo_producto]],FIND("/",Tabla2[[#This Row],[codigo_producto]])-1)</f>
        <v>59</v>
      </c>
      <c r="M70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701" spans="1:13" x14ac:dyDescent="0.25">
      <c r="A701" t="s">
        <v>3521</v>
      </c>
      <c r="B701" t="s">
        <v>2213</v>
      </c>
      <c r="C701" t="s">
        <v>2213</v>
      </c>
      <c r="D701">
        <v>32</v>
      </c>
      <c r="E701">
        <v>2</v>
      </c>
      <c r="F701">
        <v>9</v>
      </c>
      <c r="G701">
        <v>12</v>
      </c>
      <c r="H701" t="s">
        <v>2814</v>
      </c>
      <c r="I70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01" t="s">
        <v>706</v>
      </c>
      <c r="K701" t="str">
        <f>RIGHT(Tabla2[[#This Row],[codigo_producto]],LEN(Tabla2[[#This Row],[codigo_producto]])-FIND("/",Tabla2[[#This Row],[codigo_producto]]))</f>
        <v>9677616580</v>
      </c>
      <c r="L701" t="str">
        <f>LEFT(Tabla2[[#This Row],[codigo_producto]],FIND("/",Tabla2[[#This Row],[codigo_producto]])-1)</f>
        <v>59</v>
      </c>
      <c r="M70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702" spans="1:13" x14ac:dyDescent="0.25">
      <c r="A702" t="s">
        <v>3522</v>
      </c>
      <c r="B702" t="s">
        <v>2214</v>
      </c>
      <c r="C702" t="s">
        <v>2214</v>
      </c>
      <c r="D702">
        <v>32</v>
      </c>
      <c r="E702">
        <v>2</v>
      </c>
      <c r="F702">
        <v>9</v>
      </c>
      <c r="G702">
        <v>12</v>
      </c>
      <c r="H702" t="s">
        <v>2814</v>
      </c>
      <c r="I70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02" t="s">
        <v>707</v>
      </c>
      <c r="K702" t="str">
        <f>RIGHT(Tabla2[[#This Row],[codigo_producto]],LEN(Tabla2[[#This Row],[codigo_producto]])-FIND("/",Tabla2[[#This Row],[codigo_producto]]))</f>
        <v>9677616680</v>
      </c>
      <c r="L702" t="str">
        <f>LEFT(Tabla2[[#This Row],[codigo_producto]],FIND("/",Tabla2[[#This Row],[codigo_producto]])-1)</f>
        <v>59</v>
      </c>
      <c r="M70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703" spans="1:13" x14ac:dyDescent="0.25">
      <c r="A703" t="s">
        <v>3523</v>
      </c>
      <c r="B703" t="s">
        <v>2215</v>
      </c>
      <c r="C703" t="s">
        <v>2215</v>
      </c>
      <c r="D703">
        <v>32</v>
      </c>
      <c r="E703">
        <v>2</v>
      </c>
      <c r="F703">
        <v>9</v>
      </c>
      <c r="G703">
        <v>12</v>
      </c>
      <c r="H703" t="s">
        <v>2814</v>
      </c>
      <c r="I70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03" t="s">
        <v>708</v>
      </c>
      <c r="K703" t="str">
        <f>RIGHT(Tabla2[[#This Row],[codigo_producto]],LEN(Tabla2[[#This Row],[codigo_producto]])-FIND("/",Tabla2[[#This Row],[codigo_producto]]))</f>
        <v>9800097580</v>
      </c>
      <c r="L703" t="str">
        <f>LEFT(Tabla2[[#This Row],[codigo_producto]],FIND("/",Tabla2[[#This Row],[codigo_producto]])-1)</f>
        <v>59</v>
      </c>
      <c r="M70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704" spans="1:13" x14ac:dyDescent="0.25">
      <c r="A704" t="s">
        <v>3524</v>
      </c>
      <c r="B704" t="s">
        <v>1827</v>
      </c>
      <c r="C704" t="s">
        <v>1827</v>
      </c>
      <c r="D704">
        <v>32</v>
      </c>
      <c r="E704">
        <v>2</v>
      </c>
      <c r="F704">
        <v>9</v>
      </c>
      <c r="G704">
        <v>12</v>
      </c>
      <c r="H704" t="s">
        <v>2814</v>
      </c>
      <c r="I70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04" t="s">
        <v>709</v>
      </c>
      <c r="K704" t="str">
        <f>RIGHT(Tabla2[[#This Row],[codigo_producto]],LEN(Tabla2[[#This Row],[codigo_producto]])-FIND("/",Tabla2[[#This Row],[codigo_producto]]))</f>
        <v>9801366680</v>
      </c>
      <c r="L704" t="str">
        <f>LEFT(Tabla2[[#This Row],[codigo_producto]],FIND("/",Tabla2[[#This Row],[codigo_producto]])-1)</f>
        <v>59</v>
      </c>
      <c r="M70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705" spans="1:13" x14ac:dyDescent="0.25">
      <c r="A705" t="s">
        <v>3525</v>
      </c>
      <c r="B705" t="s">
        <v>2216</v>
      </c>
      <c r="C705" t="s">
        <v>2216</v>
      </c>
      <c r="D705">
        <v>32</v>
      </c>
      <c r="E705">
        <v>2</v>
      </c>
      <c r="F705">
        <v>9</v>
      </c>
      <c r="G705">
        <v>12</v>
      </c>
      <c r="H705" t="s">
        <v>2814</v>
      </c>
      <c r="I70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05" t="s">
        <v>710</v>
      </c>
      <c r="K705" t="str">
        <f>RIGHT(Tabla2[[#This Row],[codigo_producto]],LEN(Tabla2[[#This Row],[codigo_producto]])-FIND("/",Tabla2[[#This Row],[codigo_producto]]))</f>
        <v>9804617380</v>
      </c>
      <c r="L705" t="str">
        <f>LEFT(Tabla2[[#This Row],[codigo_producto]],FIND("/",Tabla2[[#This Row],[codigo_producto]])-1)</f>
        <v>59</v>
      </c>
      <c r="M70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706" spans="1:13" x14ac:dyDescent="0.25">
      <c r="A706" t="s">
        <v>3526</v>
      </c>
      <c r="B706" t="s">
        <v>1715</v>
      </c>
      <c r="C706" t="s">
        <v>1715</v>
      </c>
      <c r="D706">
        <v>32</v>
      </c>
      <c r="E706">
        <v>2</v>
      </c>
      <c r="F706">
        <v>9</v>
      </c>
      <c r="G706">
        <v>12</v>
      </c>
      <c r="H706" t="s">
        <v>2814</v>
      </c>
      <c r="I70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06" t="s">
        <v>711</v>
      </c>
      <c r="K706" t="str">
        <f>RIGHT(Tabla2[[#This Row],[codigo_producto]],LEN(Tabla2[[#This Row],[codigo_producto]])-FIND("/",Tabla2[[#This Row],[codigo_producto]]))</f>
        <v>9805552080</v>
      </c>
      <c r="L706" t="str">
        <f>LEFT(Tabla2[[#This Row],[codigo_producto]],FIND("/",Tabla2[[#This Row],[codigo_producto]])-1)</f>
        <v>59</v>
      </c>
      <c r="M70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707" spans="1:13" x14ac:dyDescent="0.25">
      <c r="A707" t="s">
        <v>3527</v>
      </c>
      <c r="B707" t="s">
        <v>2217</v>
      </c>
      <c r="C707" t="s">
        <v>2217</v>
      </c>
      <c r="D707">
        <v>32</v>
      </c>
      <c r="E707">
        <v>2</v>
      </c>
      <c r="F707">
        <v>9</v>
      </c>
      <c r="G707">
        <v>12</v>
      </c>
      <c r="H707" t="s">
        <v>2814</v>
      </c>
      <c r="I70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07" t="s">
        <v>712</v>
      </c>
      <c r="K707" t="str">
        <f>RIGHT(Tabla2[[#This Row],[codigo_producto]],LEN(Tabla2[[#This Row],[codigo_producto]])-FIND("/",Tabla2[[#This Row],[codigo_producto]]))</f>
        <v>9808206880</v>
      </c>
      <c r="L707" t="str">
        <f>LEFT(Tabla2[[#This Row],[codigo_producto]],FIND("/",Tabla2[[#This Row],[codigo_producto]])-1)</f>
        <v>59</v>
      </c>
      <c r="M70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708" spans="1:13" x14ac:dyDescent="0.25">
      <c r="A708" t="s">
        <v>3528</v>
      </c>
      <c r="B708" t="s">
        <v>2218</v>
      </c>
      <c r="C708" t="s">
        <v>2218</v>
      </c>
      <c r="D708">
        <v>32</v>
      </c>
      <c r="E708">
        <v>2</v>
      </c>
      <c r="F708">
        <v>9</v>
      </c>
      <c r="G708">
        <v>12</v>
      </c>
      <c r="H708" t="s">
        <v>2814</v>
      </c>
      <c r="I70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08" t="s">
        <v>713</v>
      </c>
      <c r="K708" t="str">
        <f>RIGHT(Tabla2[[#This Row],[codigo_producto]],LEN(Tabla2[[#This Row],[codigo_producto]])-FIND("/",Tabla2[[#This Row],[codigo_producto]]))</f>
        <v>9808674780</v>
      </c>
      <c r="L708" t="str">
        <f>LEFT(Tabla2[[#This Row],[codigo_producto]],FIND("/",Tabla2[[#This Row],[codigo_producto]])-1)</f>
        <v>59</v>
      </c>
      <c r="M70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709" spans="1:13" x14ac:dyDescent="0.25">
      <c r="A709" t="s">
        <v>3529</v>
      </c>
      <c r="B709" t="s">
        <v>2219</v>
      </c>
      <c r="C709" t="s">
        <v>2219</v>
      </c>
      <c r="D709">
        <v>32</v>
      </c>
      <c r="E709">
        <v>2</v>
      </c>
      <c r="F709">
        <v>9</v>
      </c>
      <c r="G709">
        <v>12</v>
      </c>
      <c r="H709" t="s">
        <v>2814</v>
      </c>
      <c r="I70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09" t="s">
        <v>714</v>
      </c>
      <c r="K709" t="str">
        <f>RIGHT(Tabla2[[#This Row],[codigo_producto]],LEN(Tabla2[[#This Row],[codigo_producto]])-FIND("/",Tabla2[[#This Row],[codigo_producto]]))</f>
        <v>9808867880</v>
      </c>
      <c r="L709" t="str">
        <f>LEFT(Tabla2[[#This Row],[codigo_producto]],FIND("/",Tabla2[[#This Row],[codigo_producto]])-1)</f>
        <v>59</v>
      </c>
      <c r="M70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710" spans="1:13" x14ac:dyDescent="0.25">
      <c r="A710" t="s">
        <v>3530</v>
      </c>
      <c r="B710" t="s">
        <v>2220</v>
      </c>
      <c r="C710" t="s">
        <v>2220</v>
      </c>
      <c r="D710">
        <v>32</v>
      </c>
      <c r="E710">
        <v>2</v>
      </c>
      <c r="F710">
        <v>9</v>
      </c>
      <c r="G710">
        <v>12</v>
      </c>
      <c r="H710" t="s">
        <v>2814</v>
      </c>
      <c r="I71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10" t="s">
        <v>715</v>
      </c>
      <c r="K710" t="str">
        <f>RIGHT(Tabla2[[#This Row],[codigo_producto]],LEN(Tabla2[[#This Row],[codigo_producto]])-FIND("/",Tabla2[[#This Row],[codigo_producto]]))</f>
        <v>9810820080</v>
      </c>
      <c r="L710" t="str">
        <f>LEFT(Tabla2[[#This Row],[codigo_producto]],FIND("/",Tabla2[[#This Row],[codigo_producto]])-1)</f>
        <v>59</v>
      </c>
      <c r="M71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711" spans="1:13" x14ac:dyDescent="0.25">
      <c r="A711" t="s">
        <v>3531</v>
      </c>
      <c r="B711" t="s">
        <v>2221</v>
      </c>
      <c r="C711" t="s">
        <v>2221</v>
      </c>
      <c r="D711">
        <v>32</v>
      </c>
      <c r="E711">
        <v>2</v>
      </c>
      <c r="F711">
        <v>9</v>
      </c>
      <c r="G711">
        <v>12</v>
      </c>
      <c r="H711" t="s">
        <v>2814</v>
      </c>
      <c r="I71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11" t="s">
        <v>716</v>
      </c>
      <c r="K711" t="str">
        <f>RIGHT(Tabla2[[#This Row],[codigo_producto]],LEN(Tabla2[[#This Row],[codigo_producto]])-FIND("/",Tabla2[[#This Row],[codigo_producto]]))</f>
        <v>9813059580</v>
      </c>
      <c r="L711" t="str">
        <f>LEFT(Tabla2[[#This Row],[codigo_producto]],FIND("/",Tabla2[[#This Row],[codigo_producto]])-1)</f>
        <v>59</v>
      </c>
      <c r="M71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712" spans="1:13" x14ac:dyDescent="0.25">
      <c r="A712" t="s">
        <v>3532</v>
      </c>
      <c r="B712" t="s">
        <v>2222</v>
      </c>
      <c r="C712" t="s">
        <v>2222</v>
      </c>
      <c r="D712">
        <v>32</v>
      </c>
      <c r="E712">
        <v>2</v>
      </c>
      <c r="F712">
        <v>9</v>
      </c>
      <c r="G712">
        <v>12</v>
      </c>
      <c r="H712" t="s">
        <v>2814</v>
      </c>
      <c r="I71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12" t="s">
        <v>717</v>
      </c>
      <c r="K712" t="str">
        <f>RIGHT(Tabla2[[#This Row],[codigo_producto]],LEN(Tabla2[[#This Row],[codigo_producto]])-FIND("/",Tabla2[[#This Row],[codigo_producto]]))</f>
        <v>9814237680</v>
      </c>
      <c r="L712" t="str">
        <f>LEFT(Tabla2[[#This Row],[codigo_producto]],FIND("/",Tabla2[[#This Row],[codigo_producto]])-1)</f>
        <v>59</v>
      </c>
      <c r="M71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713" spans="1:13" x14ac:dyDescent="0.25">
      <c r="A713" t="s">
        <v>3533</v>
      </c>
      <c r="B713" t="s">
        <v>2223</v>
      </c>
      <c r="C713" t="s">
        <v>2223</v>
      </c>
      <c r="D713">
        <v>32</v>
      </c>
      <c r="E713">
        <v>2</v>
      </c>
      <c r="F713">
        <v>9</v>
      </c>
      <c r="G713">
        <v>12</v>
      </c>
      <c r="H713" t="s">
        <v>2814</v>
      </c>
      <c r="I71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13" t="s">
        <v>718</v>
      </c>
      <c r="K713" t="str">
        <f>RIGHT(Tabla2[[#This Row],[codigo_producto]],LEN(Tabla2[[#This Row],[codigo_producto]])-FIND("/",Tabla2[[#This Row],[codigo_producto]]))</f>
        <v>98176962XT</v>
      </c>
      <c r="L713" t="str">
        <f>LEFT(Tabla2[[#This Row],[codigo_producto]],FIND("/",Tabla2[[#This Row],[codigo_producto]])-1)</f>
        <v>59</v>
      </c>
      <c r="M71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714" spans="1:13" x14ac:dyDescent="0.25">
      <c r="A714" t="s">
        <v>3534</v>
      </c>
      <c r="B714" t="s">
        <v>2224</v>
      </c>
      <c r="C714" t="s">
        <v>2224</v>
      </c>
      <c r="D714">
        <v>32</v>
      </c>
      <c r="E714">
        <v>2</v>
      </c>
      <c r="F714">
        <v>9</v>
      </c>
      <c r="G714">
        <v>12</v>
      </c>
      <c r="H714" t="s">
        <v>2814</v>
      </c>
      <c r="I71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14" t="s">
        <v>719</v>
      </c>
      <c r="K714" t="str">
        <f>RIGHT(Tabla2[[#This Row],[codigo_producto]],LEN(Tabla2[[#This Row],[codigo_producto]])-FIND("/",Tabla2[[#This Row],[codigo_producto]]))</f>
        <v>9818914980</v>
      </c>
      <c r="L714" t="str">
        <f>LEFT(Tabla2[[#This Row],[codigo_producto]],FIND("/",Tabla2[[#This Row],[codigo_producto]])-1)</f>
        <v>59</v>
      </c>
      <c r="M71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715" spans="1:13" x14ac:dyDescent="0.25">
      <c r="A715" t="s">
        <v>3535</v>
      </c>
      <c r="B715" t="s">
        <v>2225</v>
      </c>
      <c r="C715" t="s">
        <v>2225</v>
      </c>
      <c r="D715">
        <v>32</v>
      </c>
      <c r="E715">
        <v>2</v>
      </c>
      <c r="F715">
        <v>9</v>
      </c>
      <c r="G715">
        <v>12</v>
      </c>
      <c r="H715" t="s">
        <v>2814</v>
      </c>
      <c r="I71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15" t="s">
        <v>720</v>
      </c>
      <c r="K715" t="str">
        <f>RIGHT(Tabla2[[#This Row],[codigo_producto]],LEN(Tabla2[[#This Row],[codigo_producto]])-FIND("/",Tabla2[[#This Row],[codigo_producto]]))</f>
        <v>9819663880</v>
      </c>
      <c r="L715" t="str">
        <f>LEFT(Tabla2[[#This Row],[codigo_producto]],FIND("/",Tabla2[[#This Row],[codigo_producto]])-1)</f>
        <v>59</v>
      </c>
      <c r="M71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716" spans="1:13" x14ac:dyDescent="0.25">
      <c r="A716" t="s">
        <v>3536</v>
      </c>
      <c r="B716" t="s">
        <v>2226</v>
      </c>
      <c r="C716" t="s">
        <v>2226</v>
      </c>
      <c r="D716">
        <v>32</v>
      </c>
      <c r="E716">
        <v>2</v>
      </c>
      <c r="F716">
        <v>9</v>
      </c>
      <c r="G716">
        <v>12</v>
      </c>
      <c r="H716" t="s">
        <v>2814</v>
      </c>
      <c r="I71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16" t="s">
        <v>721</v>
      </c>
      <c r="K716" t="str">
        <f>RIGHT(Tabla2[[#This Row],[codigo_producto]],LEN(Tabla2[[#This Row],[codigo_producto]])-FIND("/",Tabla2[[#This Row],[codigo_producto]]))</f>
        <v>9820932180</v>
      </c>
      <c r="L716" t="str">
        <f>LEFT(Tabla2[[#This Row],[codigo_producto]],FIND("/",Tabla2[[#This Row],[codigo_producto]])-1)</f>
        <v>59</v>
      </c>
      <c r="M71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717" spans="1:13" x14ac:dyDescent="0.25">
      <c r="A717" t="s">
        <v>3537</v>
      </c>
      <c r="B717" t="s">
        <v>2227</v>
      </c>
      <c r="C717" t="s">
        <v>2227</v>
      </c>
      <c r="D717">
        <v>32</v>
      </c>
      <c r="E717">
        <v>2</v>
      </c>
      <c r="F717">
        <v>9</v>
      </c>
      <c r="G717">
        <v>12</v>
      </c>
      <c r="H717" t="s">
        <v>2814</v>
      </c>
      <c r="I71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17" t="s">
        <v>722</v>
      </c>
      <c r="K717" t="str">
        <f>RIGHT(Tabla2[[#This Row],[codigo_producto]],LEN(Tabla2[[#This Row],[codigo_producto]])-FIND("/",Tabla2[[#This Row],[codigo_producto]]))</f>
        <v>9827488680</v>
      </c>
      <c r="L717" t="str">
        <f>LEFT(Tabla2[[#This Row],[codigo_producto]],FIND("/",Tabla2[[#This Row],[codigo_producto]])-1)</f>
        <v>59</v>
      </c>
      <c r="M71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718" spans="1:13" x14ac:dyDescent="0.25">
      <c r="A718" t="s">
        <v>3538</v>
      </c>
      <c r="B718" t="s">
        <v>1827</v>
      </c>
      <c r="C718" t="s">
        <v>1827</v>
      </c>
      <c r="D718">
        <v>32</v>
      </c>
      <c r="E718">
        <v>1</v>
      </c>
      <c r="F718">
        <v>9</v>
      </c>
      <c r="G718">
        <v>12</v>
      </c>
      <c r="H718" t="s">
        <v>2814</v>
      </c>
      <c r="I71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18" t="s">
        <v>723</v>
      </c>
      <c r="K718" t="str">
        <f>RIGHT(Tabla2[[#This Row],[codigo_producto]],LEN(Tabla2[[#This Row],[codigo_producto]])-FIND("/",Tabla2[[#This Row],[codigo_producto]]))</f>
        <v>B2110320300</v>
      </c>
      <c r="L718" t="str">
        <f>LEFT(Tabla2[[#This Row],[codigo_producto]],FIND("/",Tabla2[[#This Row],[codigo_producto]])-1)</f>
        <v>6</v>
      </c>
      <c r="M71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19" spans="1:13" x14ac:dyDescent="0.25">
      <c r="A719" t="s">
        <v>3539</v>
      </c>
      <c r="B719" t="s">
        <v>2228</v>
      </c>
      <c r="C719" t="s">
        <v>2228</v>
      </c>
      <c r="D719">
        <v>32</v>
      </c>
      <c r="E719">
        <v>1</v>
      </c>
      <c r="F719">
        <v>9</v>
      </c>
      <c r="G719">
        <v>12</v>
      </c>
      <c r="H719" t="s">
        <v>2814</v>
      </c>
      <c r="I71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19" t="s">
        <v>724</v>
      </c>
      <c r="K719" t="str">
        <f>RIGHT(Tabla2[[#This Row],[codigo_producto]],LEN(Tabla2[[#This Row],[codigo_producto]])-FIND("/",Tabla2[[#This Row],[codigo_producto]]))</f>
        <v>B3110550300</v>
      </c>
      <c r="L719" t="str">
        <f>LEFT(Tabla2[[#This Row],[codigo_producto]],FIND("/",Tabla2[[#This Row],[codigo_producto]])-1)</f>
        <v>6</v>
      </c>
      <c r="M71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20" spans="1:13" x14ac:dyDescent="0.25">
      <c r="A720" t="s">
        <v>3540</v>
      </c>
      <c r="B720" t="s">
        <v>2229</v>
      </c>
      <c r="C720" t="s">
        <v>2229</v>
      </c>
      <c r="D720">
        <v>32</v>
      </c>
      <c r="E720">
        <v>1</v>
      </c>
      <c r="F720">
        <v>9</v>
      </c>
      <c r="G720">
        <v>12</v>
      </c>
      <c r="H720" t="s">
        <v>2814</v>
      </c>
      <c r="I72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20" t="s">
        <v>725</v>
      </c>
      <c r="K720" t="str">
        <f>RIGHT(Tabla2[[#This Row],[codigo_producto]],LEN(Tabla2[[#This Row],[codigo_producto]])-FIND("/",Tabla2[[#This Row],[codigo_producto]]))</f>
        <v>B3110550301</v>
      </c>
      <c r="L720" t="str">
        <f>LEFT(Tabla2[[#This Row],[codigo_producto]],FIND("/",Tabla2[[#This Row],[codigo_producto]])-1)</f>
        <v>6</v>
      </c>
      <c r="M72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21" spans="1:13" x14ac:dyDescent="0.25">
      <c r="A721" t="s">
        <v>3541</v>
      </c>
      <c r="B721" t="s">
        <v>2230</v>
      </c>
      <c r="C721" t="s">
        <v>2230</v>
      </c>
      <c r="D721">
        <v>32</v>
      </c>
      <c r="E721">
        <v>1</v>
      </c>
      <c r="F721">
        <v>9</v>
      </c>
      <c r="G721">
        <v>12</v>
      </c>
      <c r="H721" t="s">
        <v>2814</v>
      </c>
      <c r="I72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21" t="s">
        <v>726</v>
      </c>
      <c r="K721" t="str">
        <f>RIGHT(Tabla2[[#This Row],[codigo_producto]],LEN(Tabla2[[#This Row],[codigo_producto]])-FIND("/",Tabla2[[#This Row],[codigo_producto]]))</f>
        <v>B3110560200</v>
      </c>
      <c r="L721" t="str">
        <f>LEFT(Tabla2[[#This Row],[codigo_producto]],FIND("/",Tabla2[[#This Row],[codigo_producto]])-1)</f>
        <v>6</v>
      </c>
      <c r="M72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22" spans="1:13" x14ac:dyDescent="0.25">
      <c r="A722" t="s">
        <v>3542</v>
      </c>
      <c r="B722" t="s">
        <v>2231</v>
      </c>
      <c r="C722" t="s">
        <v>2231</v>
      </c>
      <c r="D722">
        <v>32</v>
      </c>
      <c r="E722">
        <v>1</v>
      </c>
      <c r="F722">
        <v>9</v>
      </c>
      <c r="G722">
        <v>12</v>
      </c>
      <c r="H722" t="s">
        <v>2814</v>
      </c>
      <c r="I72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22" t="s">
        <v>727</v>
      </c>
      <c r="K722" t="str">
        <f>RIGHT(Tabla2[[#This Row],[codigo_producto]],LEN(Tabla2[[#This Row],[codigo_producto]])-FIND("/",Tabla2[[#This Row],[codigo_producto]]))</f>
        <v>B3110560400</v>
      </c>
      <c r="L722" t="str">
        <f>LEFT(Tabla2[[#This Row],[codigo_producto]],FIND("/",Tabla2[[#This Row],[codigo_producto]])-1)</f>
        <v>6</v>
      </c>
      <c r="M72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23" spans="1:13" x14ac:dyDescent="0.25">
      <c r="A723" t="s">
        <v>3543</v>
      </c>
      <c r="B723" t="s">
        <v>2232</v>
      </c>
      <c r="C723" t="s">
        <v>2232</v>
      </c>
      <c r="D723">
        <v>32</v>
      </c>
      <c r="E723">
        <v>1</v>
      </c>
      <c r="F723">
        <v>9</v>
      </c>
      <c r="G723">
        <v>12</v>
      </c>
      <c r="H723" t="s">
        <v>2814</v>
      </c>
      <c r="I72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23" t="s">
        <v>728</v>
      </c>
      <c r="K723" t="str">
        <f>RIGHT(Tabla2[[#This Row],[codigo_producto]],LEN(Tabla2[[#This Row],[codigo_producto]])-FIND("/",Tabla2[[#This Row],[codigo_producto]]))</f>
        <v>B3110560401</v>
      </c>
      <c r="L723" t="str">
        <f>LEFT(Tabla2[[#This Row],[codigo_producto]],FIND("/",Tabla2[[#This Row],[codigo_producto]])-1)</f>
        <v>6</v>
      </c>
      <c r="M72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24" spans="1:13" x14ac:dyDescent="0.25">
      <c r="A724" t="s">
        <v>3544</v>
      </c>
      <c r="B724" t="s">
        <v>2233</v>
      </c>
      <c r="C724" t="s">
        <v>2233</v>
      </c>
      <c r="D724">
        <v>32</v>
      </c>
      <c r="E724">
        <v>1</v>
      </c>
      <c r="F724">
        <v>9</v>
      </c>
      <c r="G724">
        <v>12</v>
      </c>
      <c r="H724" t="s">
        <v>2814</v>
      </c>
      <c r="I72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24" t="s">
        <v>729</v>
      </c>
      <c r="K724" t="str">
        <f>RIGHT(Tabla2[[#This Row],[codigo_producto]],LEN(Tabla2[[#This Row],[codigo_producto]])-FIND("/",Tabla2[[#This Row],[codigo_producto]]))</f>
        <v>B3110931600</v>
      </c>
      <c r="L724" t="str">
        <f>LEFT(Tabla2[[#This Row],[codigo_producto]],FIND("/",Tabla2[[#This Row],[codigo_producto]])-1)</f>
        <v>6</v>
      </c>
      <c r="M72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25" spans="1:13" x14ac:dyDescent="0.25">
      <c r="A725" t="s">
        <v>3545</v>
      </c>
      <c r="B725" t="s">
        <v>2234</v>
      </c>
      <c r="C725" t="s">
        <v>2234</v>
      </c>
      <c r="D725">
        <v>32</v>
      </c>
      <c r="E725">
        <v>1</v>
      </c>
      <c r="F725">
        <v>9</v>
      </c>
      <c r="G725">
        <v>12</v>
      </c>
      <c r="H725" t="s">
        <v>2814</v>
      </c>
      <c r="I72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25" t="s">
        <v>730</v>
      </c>
      <c r="K725" t="str">
        <f>RIGHT(Tabla2[[#This Row],[codigo_producto]],LEN(Tabla2[[#This Row],[codigo_producto]])-FIND("/",Tabla2[[#This Row],[codigo_producto]]))</f>
        <v>B3110931700</v>
      </c>
      <c r="L725" t="str">
        <f>LEFT(Tabla2[[#This Row],[codigo_producto]],FIND("/",Tabla2[[#This Row],[codigo_producto]])-1)</f>
        <v>6</v>
      </c>
      <c r="M72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26" spans="1:13" x14ac:dyDescent="0.25">
      <c r="A726" t="s">
        <v>3546</v>
      </c>
      <c r="B726" t="s">
        <v>2146</v>
      </c>
      <c r="C726" t="s">
        <v>2146</v>
      </c>
      <c r="D726">
        <v>32</v>
      </c>
      <c r="E726">
        <v>1</v>
      </c>
      <c r="F726">
        <v>9</v>
      </c>
      <c r="G726">
        <v>12</v>
      </c>
      <c r="H726" t="s">
        <v>2814</v>
      </c>
      <c r="I72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26" t="s">
        <v>731</v>
      </c>
      <c r="K726" t="str">
        <f>RIGHT(Tabla2[[#This Row],[codigo_producto]],LEN(Tabla2[[#This Row],[codigo_producto]])-FIND("/",Tabla2[[#This Row],[codigo_producto]]))</f>
        <v>B3111051300</v>
      </c>
      <c r="L726" t="str">
        <f>LEFT(Tabla2[[#This Row],[codigo_producto]],FIND("/",Tabla2[[#This Row],[codigo_producto]])-1)</f>
        <v>6</v>
      </c>
      <c r="M72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27" spans="1:13" x14ac:dyDescent="0.25">
      <c r="A727" t="s">
        <v>3547</v>
      </c>
      <c r="B727" t="s">
        <v>1918</v>
      </c>
      <c r="C727" t="s">
        <v>1918</v>
      </c>
      <c r="D727">
        <v>32</v>
      </c>
      <c r="E727">
        <v>1</v>
      </c>
      <c r="F727">
        <v>9</v>
      </c>
      <c r="G727">
        <v>12</v>
      </c>
      <c r="H727" t="s">
        <v>2814</v>
      </c>
      <c r="I72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27" t="s">
        <v>732</v>
      </c>
      <c r="K727" t="str">
        <f>RIGHT(Tabla2[[#This Row],[codigo_producto]],LEN(Tabla2[[#This Row],[codigo_producto]])-FIND("/",Tabla2[[#This Row],[codigo_producto]]))</f>
        <v>B3111082900</v>
      </c>
      <c r="L727" t="str">
        <f>LEFT(Tabla2[[#This Row],[codigo_producto]],FIND("/",Tabla2[[#This Row],[codigo_producto]])-1)</f>
        <v>6</v>
      </c>
      <c r="M72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28" spans="1:13" x14ac:dyDescent="0.25">
      <c r="A728" t="s">
        <v>3548</v>
      </c>
      <c r="B728" t="s">
        <v>1714</v>
      </c>
      <c r="C728" t="s">
        <v>1714</v>
      </c>
      <c r="D728">
        <v>32</v>
      </c>
      <c r="E728">
        <v>1</v>
      </c>
      <c r="F728">
        <v>9</v>
      </c>
      <c r="G728">
        <v>12</v>
      </c>
      <c r="H728" t="s">
        <v>2814</v>
      </c>
      <c r="I72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28" t="s">
        <v>733</v>
      </c>
      <c r="K728" t="str">
        <f>RIGHT(Tabla2[[#This Row],[codigo_producto]],LEN(Tabla2[[#This Row],[codigo_producto]])-FIND("/",Tabla2[[#This Row],[codigo_producto]]))</f>
        <v>B5010170203</v>
      </c>
      <c r="L728" t="str">
        <f>LEFT(Tabla2[[#This Row],[codigo_producto]],FIND("/",Tabla2[[#This Row],[codigo_producto]])-1)</f>
        <v>6</v>
      </c>
      <c r="M72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29" spans="1:13" x14ac:dyDescent="0.25">
      <c r="A729" t="s">
        <v>3549</v>
      </c>
      <c r="B729" t="s">
        <v>1714</v>
      </c>
      <c r="C729" t="s">
        <v>1714</v>
      </c>
      <c r="D729">
        <v>32</v>
      </c>
      <c r="E729">
        <v>1</v>
      </c>
      <c r="F729">
        <v>9</v>
      </c>
      <c r="G729">
        <v>12</v>
      </c>
      <c r="H729" t="s">
        <v>2814</v>
      </c>
      <c r="I72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29" t="s">
        <v>734</v>
      </c>
      <c r="K729" t="str">
        <f>RIGHT(Tabla2[[#This Row],[codigo_producto]],LEN(Tabla2[[#This Row],[codigo_producto]])-FIND("/",Tabla2[[#This Row],[codigo_producto]]))</f>
        <v>C2010140101</v>
      </c>
      <c r="L729" t="str">
        <f>LEFT(Tabla2[[#This Row],[codigo_producto]],FIND("/",Tabla2[[#This Row],[codigo_producto]])-1)</f>
        <v>6</v>
      </c>
      <c r="M72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30" spans="1:13" x14ac:dyDescent="0.25">
      <c r="A730" t="s">
        <v>3550</v>
      </c>
      <c r="B730" t="s">
        <v>1715</v>
      </c>
      <c r="C730" t="s">
        <v>1715</v>
      </c>
      <c r="D730">
        <v>32</v>
      </c>
      <c r="E730">
        <v>1</v>
      </c>
      <c r="F730">
        <v>9</v>
      </c>
      <c r="G730">
        <v>12</v>
      </c>
      <c r="H730" t="s">
        <v>2814</v>
      </c>
      <c r="I73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30" t="s">
        <v>735</v>
      </c>
      <c r="K730" t="str">
        <f>RIGHT(Tabla2[[#This Row],[codigo_producto]],LEN(Tabla2[[#This Row],[codigo_producto]])-FIND("/",Tabla2[[#This Row],[codigo_producto]]))</f>
        <v>C2010140102</v>
      </c>
      <c r="L730" t="str">
        <f>LEFT(Tabla2[[#This Row],[codigo_producto]],FIND("/",Tabla2[[#This Row],[codigo_producto]])-1)</f>
        <v>6</v>
      </c>
      <c r="M73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31" spans="1:13" x14ac:dyDescent="0.25">
      <c r="A731" t="s">
        <v>3551</v>
      </c>
      <c r="B731" t="s">
        <v>2235</v>
      </c>
      <c r="C731" t="s">
        <v>2235</v>
      </c>
      <c r="D731">
        <v>32</v>
      </c>
      <c r="E731">
        <v>1</v>
      </c>
      <c r="F731">
        <v>9</v>
      </c>
      <c r="G731">
        <v>12</v>
      </c>
      <c r="H731" t="s">
        <v>2814</v>
      </c>
      <c r="I73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31" t="s">
        <v>736</v>
      </c>
      <c r="K731" t="str">
        <f>RIGHT(Tabla2[[#This Row],[codigo_producto]],LEN(Tabla2[[#This Row],[codigo_producto]])-FIND("/",Tabla2[[#This Row],[codigo_producto]]))</f>
        <v>CM100301500</v>
      </c>
      <c r="L731" t="str">
        <f>LEFT(Tabla2[[#This Row],[codigo_producto]],FIND("/",Tabla2[[#This Row],[codigo_producto]])-1)</f>
        <v>6</v>
      </c>
      <c r="M73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32" spans="1:13" x14ac:dyDescent="0.25">
      <c r="A732" t="s">
        <v>3552</v>
      </c>
      <c r="B732" t="s">
        <v>2236</v>
      </c>
      <c r="C732" t="s">
        <v>2236</v>
      </c>
      <c r="D732">
        <v>32</v>
      </c>
      <c r="E732">
        <v>1</v>
      </c>
      <c r="F732">
        <v>9</v>
      </c>
      <c r="G732">
        <v>12</v>
      </c>
      <c r="H732" t="s">
        <v>2814</v>
      </c>
      <c r="I73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32" t="s">
        <v>737</v>
      </c>
      <c r="K732" t="str">
        <f>RIGHT(Tabla2[[#This Row],[codigo_producto]],LEN(Tabla2[[#This Row],[codigo_producto]])-FIND("/",Tabla2[[#This Row],[codigo_producto]]))</f>
        <v>CM100301600</v>
      </c>
      <c r="L732" t="str">
        <f>LEFT(Tabla2[[#This Row],[codigo_producto]],FIND("/",Tabla2[[#This Row],[codigo_producto]])-1)</f>
        <v>6</v>
      </c>
      <c r="M73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33" spans="1:13" x14ac:dyDescent="0.25">
      <c r="A733" t="s">
        <v>3553</v>
      </c>
      <c r="B733" t="s">
        <v>2237</v>
      </c>
      <c r="C733" t="s">
        <v>2237</v>
      </c>
      <c r="D733">
        <v>32</v>
      </c>
      <c r="E733">
        <v>1</v>
      </c>
      <c r="F733">
        <v>9</v>
      </c>
      <c r="G733">
        <v>12</v>
      </c>
      <c r="H733" t="s">
        <v>2814</v>
      </c>
      <c r="I73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33" t="s">
        <v>738</v>
      </c>
      <c r="K733" t="str">
        <f>RIGHT(Tabla2[[#This Row],[codigo_producto]],LEN(Tabla2[[#This Row],[codigo_producto]])-FIND("/",Tabla2[[#This Row],[codigo_producto]]))</f>
        <v>CM100350102</v>
      </c>
      <c r="L733" t="str">
        <f>LEFT(Tabla2[[#This Row],[codigo_producto]],FIND("/",Tabla2[[#This Row],[codigo_producto]])-1)</f>
        <v>6</v>
      </c>
      <c r="M73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34" spans="1:13" x14ac:dyDescent="0.25">
      <c r="A734" t="s">
        <v>3554</v>
      </c>
      <c r="B734" t="s">
        <v>2238</v>
      </c>
      <c r="C734" t="s">
        <v>2238</v>
      </c>
      <c r="D734">
        <v>32</v>
      </c>
      <c r="E734">
        <v>1</v>
      </c>
      <c r="F734">
        <v>9</v>
      </c>
      <c r="G734">
        <v>12</v>
      </c>
      <c r="H734" t="s">
        <v>2814</v>
      </c>
      <c r="I73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34" t="s">
        <v>739</v>
      </c>
      <c r="K734" t="str">
        <f>RIGHT(Tabla2[[#This Row],[codigo_producto]],LEN(Tabla2[[#This Row],[codigo_producto]])-FIND("/",Tabla2[[#This Row],[codigo_producto]]))</f>
        <v>CM100380801</v>
      </c>
      <c r="L734" t="str">
        <f>LEFT(Tabla2[[#This Row],[codigo_producto]],FIND("/",Tabla2[[#This Row],[codigo_producto]])-1)</f>
        <v>6</v>
      </c>
      <c r="M73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35" spans="1:13" x14ac:dyDescent="0.25">
      <c r="A735" t="s">
        <v>3555</v>
      </c>
      <c r="B735" t="s">
        <v>2238</v>
      </c>
      <c r="C735" t="s">
        <v>2238</v>
      </c>
      <c r="D735">
        <v>32</v>
      </c>
      <c r="E735">
        <v>1</v>
      </c>
      <c r="F735">
        <v>9</v>
      </c>
      <c r="G735">
        <v>12</v>
      </c>
      <c r="H735" t="s">
        <v>2814</v>
      </c>
      <c r="I73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35" t="s">
        <v>740</v>
      </c>
      <c r="K735" t="str">
        <f>RIGHT(Tabla2[[#This Row],[codigo_producto]],LEN(Tabla2[[#This Row],[codigo_producto]])-FIND("/",Tabla2[[#This Row],[codigo_producto]]))</f>
        <v>CM100380802</v>
      </c>
      <c r="L735" t="str">
        <f>LEFT(Tabla2[[#This Row],[codigo_producto]],FIND("/",Tabla2[[#This Row],[codigo_producto]])-1)</f>
        <v>6</v>
      </c>
      <c r="M73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36" spans="1:13" x14ac:dyDescent="0.25">
      <c r="A736" t="s">
        <v>3556</v>
      </c>
      <c r="B736" t="s">
        <v>2238</v>
      </c>
      <c r="C736" t="s">
        <v>2238</v>
      </c>
      <c r="D736">
        <v>32</v>
      </c>
      <c r="E736">
        <v>1</v>
      </c>
      <c r="F736">
        <v>9</v>
      </c>
      <c r="G736">
        <v>12</v>
      </c>
      <c r="H736" t="s">
        <v>2814</v>
      </c>
      <c r="I73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36" t="s">
        <v>741</v>
      </c>
      <c r="K736" t="str">
        <f>RIGHT(Tabla2[[#This Row],[codigo_producto]],LEN(Tabla2[[#This Row],[codigo_producto]])-FIND("/",Tabla2[[#This Row],[codigo_producto]]))</f>
        <v>CM100380803</v>
      </c>
      <c r="L736" t="str">
        <f>LEFT(Tabla2[[#This Row],[codigo_producto]],FIND("/",Tabla2[[#This Row],[codigo_producto]])-1)</f>
        <v>6</v>
      </c>
      <c r="M73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37" spans="1:13" x14ac:dyDescent="0.25">
      <c r="A737" t="s">
        <v>3557</v>
      </c>
      <c r="B737" t="s">
        <v>2239</v>
      </c>
      <c r="C737" t="s">
        <v>2239</v>
      </c>
      <c r="D737">
        <v>32</v>
      </c>
      <c r="E737">
        <v>1</v>
      </c>
      <c r="F737">
        <v>9</v>
      </c>
      <c r="G737">
        <v>12</v>
      </c>
      <c r="H737" t="s">
        <v>2814</v>
      </c>
      <c r="I73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37" t="s">
        <v>742</v>
      </c>
      <c r="K737" t="str">
        <f>RIGHT(Tabla2[[#This Row],[codigo_producto]],LEN(Tabla2[[#This Row],[codigo_producto]])-FIND("/",Tabla2[[#This Row],[codigo_producto]]))</f>
        <v>CM100380804</v>
      </c>
      <c r="L737" t="str">
        <f>LEFT(Tabla2[[#This Row],[codigo_producto]],FIND("/",Tabla2[[#This Row],[codigo_producto]])-1)</f>
        <v>6</v>
      </c>
      <c r="M73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38" spans="1:13" x14ac:dyDescent="0.25">
      <c r="A738" t="s">
        <v>3558</v>
      </c>
      <c r="B738" t="s">
        <v>2240</v>
      </c>
      <c r="C738" t="s">
        <v>2240</v>
      </c>
      <c r="D738">
        <v>32</v>
      </c>
      <c r="E738">
        <v>1</v>
      </c>
      <c r="F738">
        <v>9</v>
      </c>
      <c r="G738">
        <v>12</v>
      </c>
      <c r="H738" t="s">
        <v>2814</v>
      </c>
      <c r="I73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38" t="s">
        <v>743</v>
      </c>
      <c r="K738" t="str">
        <f>RIGHT(Tabla2[[#This Row],[codigo_producto]],LEN(Tabla2[[#This Row],[codigo_producto]])-FIND("/",Tabla2[[#This Row],[codigo_producto]]))</f>
        <v>CM100391200</v>
      </c>
      <c r="L738" t="str">
        <f>LEFT(Tabla2[[#This Row],[codigo_producto]],FIND("/",Tabla2[[#This Row],[codigo_producto]])-1)</f>
        <v>6</v>
      </c>
      <c r="M73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39" spans="1:13" x14ac:dyDescent="0.25">
      <c r="A739" t="s">
        <v>3559</v>
      </c>
      <c r="B739" t="s">
        <v>2241</v>
      </c>
      <c r="C739" t="s">
        <v>2241</v>
      </c>
      <c r="D739">
        <v>32</v>
      </c>
      <c r="E739">
        <v>1</v>
      </c>
      <c r="F739">
        <v>9</v>
      </c>
      <c r="G739">
        <v>12</v>
      </c>
      <c r="H739" t="s">
        <v>2814</v>
      </c>
      <c r="I73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39" t="s">
        <v>744</v>
      </c>
      <c r="K739" t="str">
        <f>RIGHT(Tabla2[[#This Row],[codigo_producto]],LEN(Tabla2[[#This Row],[codigo_producto]])-FIND("/",Tabla2[[#This Row],[codigo_producto]]))</f>
        <v>CM100391201</v>
      </c>
      <c r="L739" t="str">
        <f>LEFT(Tabla2[[#This Row],[codigo_producto]],FIND("/",Tabla2[[#This Row],[codigo_producto]])-1)</f>
        <v>6</v>
      </c>
      <c r="M73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40" spans="1:13" x14ac:dyDescent="0.25">
      <c r="A740" t="s">
        <v>3560</v>
      </c>
      <c r="B740" t="s">
        <v>2242</v>
      </c>
      <c r="C740" t="s">
        <v>2242</v>
      </c>
      <c r="D740">
        <v>32</v>
      </c>
      <c r="E740">
        <v>1</v>
      </c>
      <c r="F740">
        <v>9</v>
      </c>
      <c r="G740">
        <v>12</v>
      </c>
      <c r="H740" t="s">
        <v>2814</v>
      </c>
      <c r="I74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40" t="s">
        <v>745</v>
      </c>
      <c r="K740" t="str">
        <f>RIGHT(Tabla2[[#This Row],[codigo_producto]],LEN(Tabla2[[#This Row],[codigo_producto]])-FIND("/",Tabla2[[#This Row],[codigo_producto]]))</f>
        <v>CM100391600</v>
      </c>
      <c r="L740" t="str">
        <f>LEFT(Tabla2[[#This Row],[codigo_producto]],FIND("/",Tabla2[[#This Row],[codigo_producto]])-1)</f>
        <v>6</v>
      </c>
      <c r="M74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41" spans="1:13" x14ac:dyDescent="0.25">
      <c r="A741" t="s">
        <v>3561</v>
      </c>
      <c r="B741" t="s">
        <v>2243</v>
      </c>
      <c r="C741" t="s">
        <v>2243</v>
      </c>
      <c r="D741">
        <v>32</v>
      </c>
      <c r="E741">
        <v>1</v>
      </c>
      <c r="F741">
        <v>9</v>
      </c>
      <c r="G741">
        <v>12</v>
      </c>
      <c r="H741" t="s">
        <v>2814</v>
      </c>
      <c r="I74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41" t="s">
        <v>746</v>
      </c>
      <c r="K741" t="str">
        <f>RIGHT(Tabla2[[#This Row],[codigo_producto]],LEN(Tabla2[[#This Row],[codigo_producto]])-FIND("/",Tabla2[[#This Row],[codigo_producto]]))</f>
        <v>CM100631000</v>
      </c>
      <c r="L741" t="str">
        <f>LEFT(Tabla2[[#This Row],[codigo_producto]],FIND("/",Tabla2[[#This Row],[codigo_producto]])-1)</f>
        <v>6</v>
      </c>
      <c r="M74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42" spans="1:13" x14ac:dyDescent="0.25">
      <c r="A742" t="s">
        <v>3562</v>
      </c>
      <c r="B742" t="s">
        <v>2244</v>
      </c>
      <c r="C742" t="s">
        <v>2244</v>
      </c>
      <c r="D742">
        <v>32</v>
      </c>
      <c r="E742">
        <v>1</v>
      </c>
      <c r="F742">
        <v>9</v>
      </c>
      <c r="G742">
        <v>12</v>
      </c>
      <c r="H742" t="s">
        <v>2814</v>
      </c>
      <c r="I74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42" t="s">
        <v>747</v>
      </c>
      <c r="K742" t="str">
        <f>RIGHT(Tabla2[[#This Row],[codigo_producto]],LEN(Tabla2[[#This Row],[codigo_producto]])-FIND("/",Tabla2[[#This Row],[codigo_producto]]))</f>
        <v>CM101571200</v>
      </c>
      <c r="L742" t="str">
        <f>LEFT(Tabla2[[#This Row],[codigo_producto]],FIND("/",Tabla2[[#This Row],[codigo_producto]])-1)</f>
        <v>6</v>
      </c>
      <c r="M74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43" spans="1:13" x14ac:dyDescent="0.25">
      <c r="A743" t="s">
        <v>3563</v>
      </c>
      <c r="B743" t="s">
        <v>1733</v>
      </c>
      <c r="C743" t="s">
        <v>1733</v>
      </c>
      <c r="D743">
        <v>32</v>
      </c>
      <c r="E743">
        <v>1</v>
      </c>
      <c r="F743">
        <v>9</v>
      </c>
      <c r="G743">
        <v>12</v>
      </c>
      <c r="H743" t="s">
        <v>2814</v>
      </c>
      <c r="I74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43" t="s">
        <v>748</v>
      </c>
      <c r="K743" t="str">
        <f>RIGHT(Tabla2[[#This Row],[codigo_producto]],LEN(Tabla2[[#This Row],[codigo_producto]])-FIND("/",Tabla2[[#This Row],[codigo_producto]]))</f>
        <v>DA150130500</v>
      </c>
      <c r="L743" t="str">
        <f>LEFT(Tabla2[[#This Row],[codigo_producto]],FIND("/",Tabla2[[#This Row],[codigo_producto]])-1)</f>
        <v>6</v>
      </c>
      <c r="M74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44" spans="1:13" x14ac:dyDescent="0.25">
      <c r="A744" t="s">
        <v>3564</v>
      </c>
      <c r="B744" t="s">
        <v>2245</v>
      </c>
      <c r="C744" t="s">
        <v>2245</v>
      </c>
      <c r="D744">
        <v>32</v>
      </c>
      <c r="E744">
        <v>1</v>
      </c>
      <c r="F744">
        <v>9</v>
      </c>
      <c r="G744">
        <v>12</v>
      </c>
      <c r="H744" t="s">
        <v>2814</v>
      </c>
      <c r="I74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44" t="s">
        <v>749</v>
      </c>
      <c r="K744" t="str">
        <f>RIGHT(Tabla2[[#This Row],[codigo_producto]],LEN(Tabla2[[#This Row],[codigo_producto]])-FIND("/",Tabla2[[#This Row],[codigo_producto]]))</f>
        <v>DA150140700</v>
      </c>
      <c r="L744" t="str">
        <f>LEFT(Tabla2[[#This Row],[codigo_producto]],FIND("/",Tabla2[[#This Row],[codigo_producto]])-1)</f>
        <v>6</v>
      </c>
      <c r="M74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45" spans="1:13" x14ac:dyDescent="0.25">
      <c r="A745" t="s">
        <v>3565</v>
      </c>
      <c r="B745" t="s">
        <v>2246</v>
      </c>
      <c r="C745" t="s">
        <v>2246</v>
      </c>
      <c r="D745">
        <v>32</v>
      </c>
      <c r="E745">
        <v>1</v>
      </c>
      <c r="F745">
        <v>9</v>
      </c>
      <c r="G745">
        <v>12</v>
      </c>
      <c r="H745" t="s">
        <v>2814</v>
      </c>
      <c r="I74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45" t="s">
        <v>750</v>
      </c>
      <c r="K745" t="str">
        <f>RIGHT(Tabla2[[#This Row],[codigo_producto]],LEN(Tabla2[[#This Row],[codigo_producto]])-FIND("/",Tabla2[[#This Row],[codigo_producto]]))</f>
        <v>DA180060400</v>
      </c>
      <c r="L745" t="str">
        <f>LEFT(Tabla2[[#This Row],[codigo_producto]],FIND("/",Tabla2[[#This Row],[codigo_producto]])-1)</f>
        <v>6</v>
      </c>
      <c r="M74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46" spans="1:13" x14ac:dyDescent="0.25">
      <c r="A746" t="s">
        <v>3566</v>
      </c>
      <c r="B746" t="s">
        <v>2105</v>
      </c>
      <c r="C746" t="s">
        <v>2105</v>
      </c>
      <c r="D746">
        <v>32</v>
      </c>
      <c r="E746">
        <v>1</v>
      </c>
      <c r="F746">
        <v>9</v>
      </c>
      <c r="G746">
        <v>12</v>
      </c>
      <c r="H746" t="s">
        <v>2814</v>
      </c>
      <c r="I74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46" t="s">
        <v>751</v>
      </c>
      <c r="K746" t="str">
        <f>RIGHT(Tabla2[[#This Row],[codigo_producto]],LEN(Tabla2[[#This Row],[codigo_producto]])-FIND("/",Tabla2[[#This Row],[codigo_producto]]))</f>
        <v>DA180060900</v>
      </c>
      <c r="L746" t="str">
        <f>LEFT(Tabla2[[#This Row],[codigo_producto]],FIND("/",Tabla2[[#This Row],[codigo_producto]])-1)</f>
        <v>6</v>
      </c>
      <c r="M74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47" spans="1:13" x14ac:dyDescent="0.25">
      <c r="A747" t="s">
        <v>3567</v>
      </c>
      <c r="B747" t="s">
        <v>2247</v>
      </c>
      <c r="C747" t="s">
        <v>2247</v>
      </c>
      <c r="D747">
        <v>32</v>
      </c>
      <c r="E747">
        <v>1</v>
      </c>
      <c r="F747">
        <v>9</v>
      </c>
      <c r="G747">
        <v>12</v>
      </c>
      <c r="H747" t="s">
        <v>2814</v>
      </c>
      <c r="I74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47" t="s">
        <v>752</v>
      </c>
      <c r="K747" t="str">
        <f>RIGHT(Tabla2[[#This Row],[codigo_producto]],LEN(Tabla2[[#This Row],[codigo_producto]])-FIND("/",Tabla2[[#This Row],[codigo_producto]]))</f>
        <v>DA180080600</v>
      </c>
      <c r="L747" t="str">
        <f>LEFT(Tabla2[[#This Row],[codigo_producto]],FIND("/",Tabla2[[#This Row],[codigo_producto]])-1)</f>
        <v>6</v>
      </c>
      <c r="M74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48" spans="1:13" x14ac:dyDescent="0.25">
      <c r="A748" t="s">
        <v>3568</v>
      </c>
      <c r="B748" t="s">
        <v>2248</v>
      </c>
      <c r="C748" t="s">
        <v>2248</v>
      </c>
      <c r="D748">
        <v>32</v>
      </c>
      <c r="E748">
        <v>1</v>
      </c>
      <c r="F748">
        <v>9</v>
      </c>
      <c r="G748">
        <v>12</v>
      </c>
      <c r="H748" t="s">
        <v>2814</v>
      </c>
      <c r="I74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48" t="s">
        <v>753</v>
      </c>
      <c r="K748" t="str">
        <f>RIGHT(Tabla2[[#This Row],[codigo_producto]],LEN(Tabla2[[#This Row],[codigo_producto]])-FIND("/",Tabla2[[#This Row],[codigo_producto]]))</f>
        <v>DA180200200</v>
      </c>
      <c r="L748" t="str">
        <f>LEFT(Tabla2[[#This Row],[codigo_producto]],FIND("/",Tabla2[[#This Row],[codigo_producto]])-1)</f>
        <v>6</v>
      </c>
      <c r="M74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49" spans="1:13" x14ac:dyDescent="0.25">
      <c r="A749" t="s">
        <v>3569</v>
      </c>
      <c r="B749" t="s">
        <v>2249</v>
      </c>
      <c r="C749" t="s">
        <v>2249</v>
      </c>
      <c r="D749">
        <v>32</v>
      </c>
      <c r="E749">
        <v>1</v>
      </c>
      <c r="F749">
        <v>9</v>
      </c>
      <c r="G749">
        <v>12</v>
      </c>
      <c r="H749" t="s">
        <v>2814</v>
      </c>
      <c r="I74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49" t="s">
        <v>754</v>
      </c>
      <c r="K749" t="str">
        <f>RIGHT(Tabla2[[#This Row],[codigo_producto]],LEN(Tabla2[[#This Row],[codigo_producto]])-FIND("/",Tabla2[[#This Row],[codigo_producto]]))</f>
        <v>DF727A01107</v>
      </c>
      <c r="L749" t="str">
        <f>LEFT(Tabla2[[#This Row],[codigo_producto]],FIND("/",Tabla2[[#This Row],[codigo_producto]])-1)</f>
        <v>6</v>
      </c>
      <c r="M74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50" spans="1:13" x14ac:dyDescent="0.25">
      <c r="A750" t="s">
        <v>3570</v>
      </c>
      <c r="B750" t="s">
        <v>1712</v>
      </c>
      <c r="C750" t="s">
        <v>1712</v>
      </c>
      <c r="D750">
        <v>32</v>
      </c>
      <c r="E750">
        <v>1</v>
      </c>
      <c r="F750">
        <v>9</v>
      </c>
      <c r="G750">
        <v>12</v>
      </c>
      <c r="H750" t="s">
        <v>2814</v>
      </c>
      <c r="I75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50" t="s">
        <v>755</v>
      </c>
      <c r="K750" t="str">
        <f>RIGHT(Tabla2[[#This Row],[codigo_producto]],LEN(Tabla2[[#This Row],[codigo_producto]])-FIND("/",Tabla2[[#This Row],[codigo_producto]]))</f>
        <v>EA0081900AB</v>
      </c>
      <c r="L750" t="str">
        <f>LEFT(Tabla2[[#This Row],[codigo_producto]],FIND("/",Tabla2[[#This Row],[codigo_producto]])-1)</f>
        <v>6</v>
      </c>
      <c r="M75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51" spans="1:13" x14ac:dyDescent="0.25">
      <c r="A751" t="s">
        <v>3571</v>
      </c>
      <c r="B751" t="s">
        <v>1715</v>
      </c>
      <c r="C751" t="s">
        <v>1715</v>
      </c>
      <c r="D751">
        <v>32</v>
      </c>
      <c r="E751">
        <v>1</v>
      </c>
      <c r="F751">
        <v>9</v>
      </c>
      <c r="G751">
        <v>12</v>
      </c>
      <c r="H751" t="s">
        <v>2814</v>
      </c>
      <c r="I75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51" t="s">
        <v>756</v>
      </c>
      <c r="K751" t="str">
        <f>RIGHT(Tabla2[[#This Row],[codigo_producto]],LEN(Tabla2[[#This Row],[codigo_producto]])-FIND("/",Tabla2[[#This Row],[codigo_producto]]))</f>
        <v>F1020170203</v>
      </c>
      <c r="L751" t="str">
        <f>LEFT(Tabla2[[#This Row],[codigo_producto]],FIND("/",Tabla2[[#This Row],[codigo_producto]])-1)</f>
        <v>6</v>
      </c>
      <c r="M75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52" spans="1:13" x14ac:dyDescent="0.25">
      <c r="A752" t="s">
        <v>3572</v>
      </c>
      <c r="B752" t="s">
        <v>2250</v>
      </c>
      <c r="C752" t="s">
        <v>2250</v>
      </c>
      <c r="D752">
        <v>32</v>
      </c>
      <c r="E752">
        <v>1</v>
      </c>
      <c r="F752">
        <v>9</v>
      </c>
      <c r="G752">
        <v>12</v>
      </c>
      <c r="H752" t="s">
        <v>2814</v>
      </c>
      <c r="I75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52" t="s">
        <v>757</v>
      </c>
      <c r="K752" t="str">
        <f>RIGHT(Tabla2[[#This Row],[codigo_producto]],LEN(Tabla2[[#This Row],[codigo_producto]])-FIND("/",Tabla2[[#This Row],[codigo_producto]]))</f>
        <v>F2020430400</v>
      </c>
      <c r="L752" t="str">
        <f>LEFT(Tabla2[[#This Row],[codigo_producto]],FIND("/",Tabla2[[#This Row],[codigo_producto]])-1)</f>
        <v>6</v>
      </c>
      <c r="M75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53" spans="1:13" x14ac:dyDescent="0.25">
      <c r="A753" t="s">
        <v>3573</v>
      </c>
      <c r="B753" t="s">
        <v>2251</v>
      </c>
      <c r="C753" t="s">
        <v>2251</v>
      </c>
      <c r="D753">
        <v>32</v>
      </c>
      <c r="E753">
        <v>1</v>
      </c>
      <c r="F753">
        <v>9</v>
      </c>
      <c r="G753">
        <v>12</v>
      </c>
      <c r="H753" t="s">
        <v>2814</v>
      </c>
      <c r="I75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53" t="s">
        <v>758</v>
      </c>
      <c r="K753" t="str">
        <f>RIGHT(Tabla2[[#This Row],[codigo_producto]],LEN(Tabla2[[#This Row],[codigo_producto]])-FIND("/",Tabla2[[#This Row],[codigo_producto]]))</f>
        <v>F2020430401</v>
      </c>
      <c r="L753" t="str">
        <f>LEFT(Tabla2[[#This Row],[codigo_producto]],FIND("/",Tabla2[[#This Row],[codigo_producto]])-1)</f>
        <v>6</v>
      </c>
      <c r="M75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54" spans="1:13" x14ac:dyDescent="0.25">
      <c r="A754" t="s">
        <v>3574</v>
      </c>
      <c r="B754" t="s">
        <v>2252</v>
      </c>
      <c r="C754" t="s">
        <v>2252</v>
      </c>
      <c r="D754">
        <v>32</v>
      </c>
      <c r="E754">
        <v>1</v>
      </c>
      <c r="F754">
        <v>9</v>
      </c>
      <c r="G754">
        <v>12</v>
      </c>
      <c r="H754" t="s">
        <v>2814</v>
      </c>
      <c r="I75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54" t="s">
        <v>759</v>
      </c>
      <c r="K754" t="str">
        <f>RIGHT(Tabla2[[#This Row],[codigo_producto]],LEN(Tabla2[[#This Row],[codigo_producto]])-FIND("/",Tabla2[[#This Row],[codigo_producto]]))</f>
        <v>G1010000603</v>
      </c>
      <c r="L754" t="str">
        <f>LEFT(Tabla2[[#This Row],[codigo_producto]],FIND("/",Tabla2[[#This Row],[codigo_producto]])-1)</f>
        <v>6</v>
      </c>
      <c r="M75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55" spans="1:13" x14ac:dyDescent="0.25">
      <c r="A755" t="s">
        <v>3575</v>
      </c>
      <c r="B755" t="s">
        <v>2253</v>
      </c>
      <c r="C755" t="s">
        <v>2253</v>
      </c>
      <c r="D755">
        <v>32</v>
      </c>
      <c r="E755">
        <v>1</v>
      </c>
      <c r="F755">
        <v>9</v>
      </c>
      <c r="G755">
        <v>12</v>
      </c>
      <c r="H755" t="s">
        <v>2814</v>
      </c>
      <c r="I75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55" t="s">
        <v>760</v>
      </c>
      <c r="K755" t="str">
        <f>RIGHT(Tabla2[[#This Row],[codigo_producto]],LEN(Tabla2[[#This Row],[codigo_producto]])-FIND("/",Tabla2[[#This Row],[codigo_producto]]))</f>
        <v>G1010000606</v>
      </c>
      <c r="L755" t="str">
        <f>LEFT(Tabla2[[#This Row],[codigo_producto]],FIND("/",Tabla2[[#This Row],[codigo_producto]])-1)</f>
        <v>6</v>
      </c>
      <c r="M75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56" spans="1:13" x14ac:dyDescent="0.25">
      <c r="A756" t="s">
        <v>3576</v>
      </c>
      <c r="B756" t="s">
        <v>2254</v>
      </c>
      <c r="C756" t="s">
        <v>2254</v>
      </c>
      <c r="D756">
        <v>32</v>
      </c>
      <c r="E756">
        <v>1</v>
      </c>
      <c r="F756">
        <v>9</v>
      </c>
      <c r="G756">
        <v>12</v>
      </c>
      <c r="H756" t="s">
        <v>2814</v>
      </c>
      <c r="I75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56" t="s">
        <v>761</v>
      </c>
      <c r="K756" t="str">
        <f>RIGHT(Tabla2[[#This Row],[codigo_producto]],LEN(Tabla2[[#This Row],[codigo_producto]])-FIND("/",Tabla2[[#This Row],[codigo_producto]]))</f>
        <v>G1010002703</v>
      </c>
      <c r="L756" t="str">
        <f>LEFT(Tabla2[[#This Row],[codigo_producto]],FIND("/",Tabla2[[#This Row],[codigo_producto]])-1)</f>
        <v>6</v>
      </c>
      <c r="M75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57" spans="1:13" x14ac:dyDescent="0.25">
      <c r="A757" t="s">
        <v>3577</v>
      </c>
      <c r="B757" t="s">
        <v>2255</v>
      </c>
      <c r="C757" t="s">
        <v>2255</v>
      </c>
      <c r="D757">
        <v>32</v>
      </c>
      <c r="E757">
        <v>1</v>
      </c>
      <c r="F757">
        <v>9</v>
      </c>
      <c r="G757">
        <v>12</v>
      </c>
      <c r="H757" t="s">
        <v>2814</v>
      </c>
      <c r="I75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57" t="s">
        <v>762</v>
      </c>
      <c r="K757" t="str">
        <f>RIGHT(Tabla2[[#This Row],[codigo_producto]],LEN(Tabla2[[#This Row],[codigo_producto]])-FIND("/",Tabla2[[#This Row],[codigo_producto]]))</f>
        <v>G1010381201</v>
      </c>
      <c r="L757" t="str">
        <f>LEFT(Tabla2[[#This Row],[codigo_producto]],FIND("/",Tabla2[[#This Row],[codigo_producto]])-1)</f>
        <v>6</v>
      </c>
      <c r="M75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58" spans="1:13" x14ac:dyDescent="0.25">
      <c r="A758" t="s">
        <v>3578</v>
      </c>
      <c r="B758" t="s">
        <v>2256</v>
      </c>
      <c r="C758" t="s">
        <v>2256</v>
      </c>
      <c r="D758">
        <v>32</v>
      </c>
      <c r="E758">
        <v>1</v>
      </c>
      <c r="F758">
        <v>9</v>
      </c>
      <c r="G758">
        <v>12</v>
      </c>
      <c r="H758" t="s">
        <v>2814</v>
      </c>
      <c r="I75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58" t="s">
        <v>763</v>
      </c>
      <c r="K758" t="str">
        <f>RIGHT(Tabla2[[#This Row],[codigo_producto]],LEN(Tabla2[[#This Row],[codigo_producto]])-FIND("/",Tabla2[[#This Row],[codigo_producto]]))</f>
        <v>G1010460200</v>
      </c>
      <c r="L758" t="str">
        <f>LEFT(Tabla2[[#This Row],[codigo_producto]],FIND("/",Tabla2[[#This Row],[codigo_producto]])-1)</f>
        <v>6</v>
      </c>
      <c r="M75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59" spans="1:13" x14ac:dyDescent="0.25">
      <c r="A759" t="s">
        <v>3579</v>
      </c>
      <c r="B759" t="s">
        <v>2257</v>
      </c>
      <c r="C759" t="s">
        <v>2257</v>
      </c>
      <c r="D759">
        <v>32</v>
      </c>
      <c r="E759">
        <v>1</v>
      </c>
      <c r="F759">
        <v>9</v>
      </c>
      <c r="G759">
        <v>12</v>
      </c>
      <c r="H759" t="s">
        <v>2814</v>
      </c>
      <c r="I75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59" t="s">
        <v>764</v>
      </c>
      <c r="K759" t="str">
        <f>RIGHT(Tabla2[[#This Row],[codigo_producto]],LEN(Tabla2[[#This Row],[codigo_producto]])-FIND("/",Tabla2[[#This Row],[codigo_producto]]))</f>
        <v>G1010900200</v>
      </c>
      <c r="L759" t="str">
        <f>LEFT(Tabla2[[#This Row],[codigo_producto]],FIND("/",Tabla2[[#This Row],[codigo_producto]])-1)</f>
        <v>6</v>
      </c>
      <c r="M75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60" spans="1:13" x14ac:dyDescent="0.25">
      <c r="A760" t="s">
        <v>3580</v>
      </c>
      <c r="B760" t="s">
        <v>2258</v>
      </c>
      <c r="C760" t="s">
        <v>2258</v>
      </c>
      <c r="D760">
        <v>32</v>
      </c>
      <c r="E760">
        <v>1</v>
      </c>
      <c r="F760">
        <v>9</v>
      </c>
      <c r="G760">
        <v>12</v>
      </c>
      <c r="H760" t="s">
        <v>2814</v>
      </c>
      <c r="I76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60" t="s">
        <v>765</v>
      </c>
      <c r="K760" t="str">
        <f>RIGHT(Tabla2[[#This Row],[codigo_producto]],LEN(Tabla2[[#This Row],[codigo_producto]])-FIND("/",Tabla2[[#This Row],[codigo_producto]]))</f>
        <v>G1010981201</v>
      </c>
      <c r="L760" t="str">
        <f>LEFT(Tabla2[[#This Row],[codigo_producto]],FIND("/",Tabla2[[#This Row],[codigo_producto]])-1)</f>
        <v>6</v>
      </c>
      <c r="M76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61" spans="1:13" x14ac:dyDescent="0.25">
      <c r="A761" t="s">
        <v>3581</v>
      </c>
      <c r="B761" t="s">
        <v>1917</v>
      </c>
      <c r="C761" t="s">
        <v>1917</v>
      </c>
      <c r="D761">
        <v>32</v>
      </c>
      <c r="E761">
        <v>1</v>
      </c>
      <c r="F761">
        <v>9</v>
      </c>
      <c r="G761">
        <v>12</v>
      </c>
      <c r="H761" t="s">
        <v>2814</v>
      </c>
      <c r="I76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61" t="s">
        <v>766</v>
      </c>
      <c r="K761" t="str">
        <f>RIGHT(Tabla2[[#This Row],[codigo_producto]],LEN(Tabla2[[#This Row],[codigo_producto]])-FIND("/",Tabla2[[#This Row],[codigo_producto]]))</f>
        <v>G1010991600</v>
      </c>
      <c r="L761" t="str">
        <f>LEFT(Tabla2[[#This Row],[codigo_producto]],FIND("/",Tabla2[[#This Row],[codigo_producto]])-1)</f>
        <v>6</v>
      </c>
      <c r="M76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62" spans="1:13" x14ac:dyDescent="0.25">
      <c r="A762" t="s">
        <v>3582</v>
      </c>
      <c r="B762" t="s">
        <v>1884</v>
      </c>
      <c r="C762" t="s">
        <v>1884</v>
      </c>
      <c r="D762">
        <v>32</v>
      </c>
      <c r="E762">
        <v>1</v>
      </c>
      <c r="F762">
        <v>9</v>
      </c>
      <c r="G762">
        <v>12</v>
      </c>
      <c r="H762" t="s">
        <v>2814</v>
      </c>
      <c r="I76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62" t="s">
        <v>767</v>
      </c>
      <c r="K762" t="str">
        <f>RIGHT(Tabla2[[#This Row],[codigo_producto]],LEN(Tabla2[[#This Row],[codigo_producto]])-FIND("/",Tabla2[[#This Row],[codigo_producto]]))</f>
        <v>H15T0020700</v>
      </c>
      <c r="L762" t="str">
        <f>LEFT(Tabla2[[#This Row],[codigo_producto]],FIND("/",Tabla2[[#This Row],[codigo_producto]])-1)</f>
        <v>6</v>
      </c>
      <c r="M76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63" spans="1:13" x14ac:dyDescent="0.25">
      <c r="A763" t="s">
        <v>3583</v>
      </c>
      <c r="B763" t="s">
        <v>1712</v>
      </c>
      <c r="C763" t="s">
        <v>1712</v>
      </c>
      <c r="D763">
        <v>32</v>
      </c>
      <c r="E763">
        <v>1</v>
      </c>
      <c r="F763">
        <v>9</v>
      </c>
      <c r="G763">
        <v>12</v>
      </c>
      <c r="H763" t="s">
        <v>2814</v>
      </c>
      <c r="I76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63" t="s">
        <v>768</v>
      </c>
      <c r="K763" t="str">
        <f>RIGHT(Tabla2[[#This Row],[codigo_producto]],LEN(Tabla2[[#This Row],[codigo_producto]])-FIND("/",Tabla2[[#This Row],[codigo_producto]]))</f>
        <v>H15T0021200</v>
      </c>
      <c r="L763" t="str">
        <f>LEFT(Tabla2[[#This Row],[codigo_producto]],FIND("/",Tabla2[[#This Row],[codigo_producto]])-1)</f>
        <v>6</v>
      </c>
      <c r="M76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64" spans="1:13" x14ac:dyDescent="0.25">
      <c r="A764" t="s">
        <v>3584</v>
      </c>
      <c r="B764" t="s">
        <v>1715</v>
      </c>
      <c r="C764" t="s">
        <v>1715</v>
      </c>
      <c r="D764">
        <v>32</v>
      </c>
      <c r="E764">
        <v>1</v>
      </c>
      <c r="F764">
        <v>9</v>
      </c>
      <c r="G764">
        <v>12</v>
      </c>
      <c r="H764" t="s">
        <v>2814</v>
      </c>
      <c r="I76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64" t="s">
        <v>769</v>
      </c>
      <c r="K764" t="str">
        <f>RIGHT(Tabla2[[#This Row],[codigo_producto]],LEN(Tabla2[[#This Row],[codigo_producto]])-FIND("/",Tabla2[[#This Row],[codigo_producto]]))</f>
        <v>M2010170300</v>
      </c>
      <c r="L764" t="str">
        <f>LEFT(Tabla2[[#This Row],[codigo_producto]],FIND("/",Tabla2[[#This Row],[codigo_producto]])-1)</f>
        <v>6</v>
      </c>
      <c r="M76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65" spans="1:13" x14ac:dyDescent="0.25">
      <c r="A765" t="s">
        <v>3585</v>
      </c>
      <c r="B765" t="s">
        <v>1966</v>
      </c>
      <c r="C765" t="s">
        <v>1966</v>
      </c>
      <c r="D765">
        <v>32</v>
      </c>
      <c r="E765">
        <v>1</v>
      </c>
      <c r="F765">
        <v>9</v>
      </c>
      <c r="G765">
        <v>12</v>
      </c>
      <c r="H765" t="s">
        <v>2814</v>
      </c>
      <c r="I76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65" t="s">
        <v>770</v>
      </c>
      <c r="K765" t="str">
        <f>RIGHT(Tabla2[[#This Row],[codigo_producto]],LEN(Tabla2[[#This Row],[codigo_producto]])-FIND("/",Tabla2[[#This Row],[codigo_producto]]))</f>
        <v>M2010451600</v>
      </c>
      <c r="L765" t="str">
        <f>LEFT(Tabla2[[#This Row],[codigo_producto]],FIND("/",Tabla2[[#This Row],[codigo_producto]])-1)</f>
        <v>6</v>
      </c>
      <c r="M76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66" spans="1:13" x14ac:dyDescent="0.25">
      <c r="A766" t="s">
        <v>3586</v>
      </c>
      <c r="B766" t="s">
        <v>2259</v>
      </c>
      <c r="C766" t="s">
        <v>2259</v>
      </c>
      <c r="D766">
        <v>32</v>
      </c>
      <c r="E766">
        <v>1</v>
      </c>
      <c r="F766">
        <v>9</v>
      </c>
      <c r="G766">
        <v>12</v>
      </c>
      <c r="H766" t="s">
        <v>2814</v>
      </c>
      <c r="I76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66" t="s">
        <v>771</v>
      </c>
      <c r="K766" t="str">
        <f>RIGHT(Tabla2[[#This Row],[codigo_producto]],LEN(Tabla2[[#This Row],[codigo_producto]])-FIND("/",Tabla2[[#This Row],[codigo_producto]]))</f>
        <v>R1010240101</v>
      </c>
      <c r="L766" t="str">
        <f>LEFT(Tabla2[[#This Row],[codigo_producto]],FIND("/",Tabla2[[#This Row],[codigo_producto]])-1)</f>
        <v>6</v>
      </c>
      <c r="M76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67" spans="1:13" x14ac:dyDescent="0.25">
      <c r="A767" t="s">
        <v>3587</v>
      </c>
      <c r="B767" t="s">
        <v>1715</v>
      </c>
      <c r="C767" t="s">
        <v>1715</v>
      </c>
      <c r="D767">
        <v>32</v>
      </c>
      <c r="E767">
        <v>1</v>
      </c>
      <c r="F767">
        <v>9</v>
      </c>
      <c r="G767">
        <v>12</v>
      </c>
      <c r="H767" t="s">
        <v>2814</v>
      </c>
      <c r="I76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67" t="s">
        <v>772</v>
      </c>
      <c r="K767" t="str">
        <f>RIGHT(Tabla2[[#This Row],[codigo_producto]],LEN(Tabla2[[#This Row],[codigo_producto]])-FIND("/",Tabla2[[#This Row],[codigo_producto]]))</f>
        <v>R1020140800</v>
      </c>
      <c r="L767" t="str">
        <f>LEFT(Tabla2[[#This Row],[codigo_producto]],FIND("/",Tabla2[[#This Row],[codigo_producto]])-1)</f>
        <v>6</v>
      </c>
      <c r="M76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68" spans="1:13" x14ac:dyDescent="0.25">
      <c r="A768" t="s">
        <v>3588</v>
      </c>
      <c r="B768" t="s">
        <v>2260</v>
      </c>
      <c r="C768" t="s">
        <v>2260</v>
      </c>
      <c r="D768">
        <v>32</v>
      </c>
      <c r="E768">
        <v>1</v>
      </c>
      <c r="F768">
        <v>9</v>
      </c>
      <c r="G768">
        <v>12</v>
      </c>
      <c r="H768" t="s">
        <v>2814</v>
      </c>
      <c r="I76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68" t="s">
        <v>773</v>
      </c>
      <c r="K768" t="str">
        <f>RIGHT(Tabla2[[#This Row],[codigo_producto]],LEN(Tabla2[[#This Row],[codigo_producto]])-FIND("/",Tabla2[[#This Row],[codigo_producto]]))</f>
        <v>R1020970500</v>
      </c>
      <c r="L768" t="str">
        <f>LEFT(Tabla2[[#This Row],[codigo_producto]],FIND("/",Tabla2[[#This Row],[codigo_producto]])-1)</f>
        <v>6</v>
      </c>
      <c r="M76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69" spans="1:13" x14ac:dyDescent="0.25">
      <c r="A769" t="s">
        <v>3589</v>
      </c>
      <c r="B769" t="s">
        <v>2261</v>
      </c>
      <c r="C769" t="s">
        <v>2261</v>
      </c>
      <c r="D769">
        <v>32</v>
      </c>
      <c r="E769">
        <v>1</v>
      </c>
      <c r="F769">
        <v>9</v>
      </c>
      <c r="G769">
        <v>12</v>
      </c>
      <c r="H769" t="s">
        <v>2814</v>
      </c>
      <c r="I76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69" t="s">
        <v>774</v>
      </c>
      <c r="K769" t="str">
        <f>RIGHT(Tabla2[[#This Row],[codigo_producto]],LEN(Tabla2[[#This Row],[codigo_producto]])-FIND("/",Tabla2[[#This Row],[codigo_producto]]))</f>
        <v>R1030290115</v>
      </c>
      <c r="L769" t="str">
        <f>LEFT(Tabla2[[#This Row],[codigo_producto]],FIND("/",Tabla2[[#This Row],[codigo_producto]])-1)</f>
        <v>6</v>
      </c>
      <c r="M76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70" spans="1:13" x14ac:dyDescent="0.25">
      <c r="A770" t="s">
        <v>3590</v>
      </c>
      <c r="B770" t="s">
        <v>2262</v>
      </c>
      <c r="C770" t="s">
        <v>2262</v>
      </c>
      <c r="D770">
        <v>32</v>
      </c>
      <c r="E770">
        <v>1</v>
      </c>
      <c r="F770">
        <v>9</v>
      </c>
      <c r="G770">
        <v>12</v>
      </c>
      <c r="H770" t="s">
        <v>2814</v>
      </c>
      <c r="I77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70" t="s">
        <v>775</v>
      </c>
      <c r="K770" t="str">
        <f>RIGHT(Tabla2[[#This Row],[codigo_producto]],LEN(Tabla2[[#This Row],[codigo_producto]])-FIND("/",Tabla2[[#This Row],[codigo_producto]]))</f>
        <v>R1030290117</v>
      </c>
      <c r="L770" t="str">
        <f>LEFT(Tabla2[[#This Row],[codigo_producto]],FIND("/",Tabla2[[#This Row],[codigo_producto]])-1)</f>
        <v>6</v>
      </c>
      <c r="M77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71" spans="1:13" x14ac:dyDescent="0.25">
      <c r="A771" t="s">
        <v>3591</v>
      </c>
      <c r="B771" t="s">
        <v>2263</v>
      </c>
      <c r="C771" t="s">
        <v>2263</v>
      </c>
      <c r="D771">
        <v>32</v>
      </c>
      <c r="E771">
        <v>1</v>
      </c>
      <c r="F771">
        <v>9</v>
      </c>
      <c r="G771">
        <v>12</v>
      </c>
      <c r="H771" t="s">
        <v>2814</v>
      </c>
      <c r="I77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71" t="s">
        <v>776</v>
      </c>
      <c r="K771" t="str">
        <f>RIGHT(Tabla2[[#This Row],[codigo_producto]],LEN(Tabla2[[#This Row],[codigo_producto]])-FIND("/",Tabla2[[#This Row],[codigo_producto]]))</f>
        <v>R1030290118</v>
      </c>
      <c r="L771" t="str">
        <f>LEFT(Tabla2[[#This Row],[codigo_producto]],FIND("/",Tabla2[[#This Row],[codigo_producto]])-1)</f>
        <v>6</v>
      </c>
      <c r="M77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72" spans="1:13" x14ac:dyDescent="0.25">
      <c r="A772" t="s">
        <v>3592</v>
      </c>
      <c r="B772" t="s">
        <v>2264</v>
      </c>
      <c r="C772" t="s">
        <v>2264</v>
      </c>
      <c r="D772">
        <v>32</v>
      </c>
      <c r="E772">
        <v>1</v>
      </c>
      <c r="F772">
        <v>9</v>
      </c>
      <c r="G772">
        <v>12</v>
      </c>
      <c r="H772" t="s">
        <v>2814</v>
      </c>
      <c r="I77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72" t="s">
        <v>777</v>
      </c>
      <c r="K772" t="str">
        <f>RIGHT(Tabla2[[#This Row],[codigo_producto]],LEN(Tabla2[[#This Row],[codigo_producto]])-FIND("/",Tabla2[[#This Row],[codigo_producto]]))</f>
        <v>R1030350102</v>
      </c>
      <c r="L772" t="str">
        <f>LEFT(Tabla2[[#This Row],[codigo_producto]],FIND("/",Tabla2[[#This Row],[codigo_producto]])-1)</f>
        <v>6</v>
      </c>
      <c r="M77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73" spans="1:13" x14ac:dyDescent="0.25">
      <c r="A773" t="s">
        <v>3593</v>
      </c>
      <c r="B773" t="s">
        <v>2265</v>
      </c>
      <c r="C773" t="s">
        <v>2265</v>
      </c>
      <c r="D773">
        <v>32</v>
      </c>
      <c r="E773">
        <v>1</v>
      </c>
      <c r="F773">
        <v>9</v>
      </c>
      <c r="G773">
        <v>12</v>
      </c>
      <c r="H773" t="s">
        <v>2814</v>
      </c>
      <c r="I77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73" t="s">
        <v>778</v>
      </c>
      <c r="K773" t="str">
        <f>RIGHT(Tabla2[[#This Row],[codigo_producto]],LEN(Tabla2[[#This Row],[codigo_producto]])-FIND("/",Tabla2[[#This Row],[codigo_producto]]))</f>
        <v>R1030350104</v>
      </c>
      <c r="L773" t="str">
        <f>LEFT(Tabla2[[#This Row],[codigo_producto]],FIND("/",Tabla2[[#This Row],[codigo_producto]])-1)</f>
        <v>6</v>
      </c>
      <c r="M77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74" spans="1:13" x14ac:dyDescent="0.25">
      <c r="A774" t="s">
        <v>3594</v>
      </c>
      <c r="B774" t="s">
        <v>2266</v>
      </c>
      <c r="C774" t="s">
        <v>2266</v>
      </c>
      <c r="D774">
        <v>32</v>
      </c>
      <c r="E774">
        <v>1</v>
      </c>
      <c r="F774">
        <v>9</v>
      </c>
      <c r="G774">
        <v>12</v>
      </c>
      <c r="H774" t="s">
        <v>2814</v>
      </c>
      <c r="I77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74" t="s">
        <v>779</v>
      </c>
      <c r="K774" t="str">
        <f>RIGHT(Tabla2[[#This Row],[codigo_producto]],LEN(Tabla2[[#This Row],[codigo_producto]])-FIND("/",Tabla2[[#This Row],[codigo_producto]]))</f>
        <v>R1030350204</v>
      </c>
      <c r="L774" t="str">
        <f>LEFT(Tabla2[[#This Row],[codigo_producto]],FIND("/",Tabla2[[#This Row],[codigo_producto]])-1)</f>
        <v>6</v>
      </c>
      <c r="M77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75" spans="1:13" x14ac:dyDescent="0.25">
      <c r="A775" t="s">
        <v>3595</v>
      </c>
      <c r="B775" t="s">
        <v>2267</v>
      </c>
      <c r="C775" t="s">
        <v>2267</v>
      </c>
      <c r="D775">
        <v>32</v>
      </c>
      <c r="E775">
        <v>1</v>
      </c>
      <c r="F775">
        <v>9</v>
      </c>
      <c r="G775">
        <v>12</v>
      </c>
      <c r="H775" t="s">
        <v>2814</v>
      </c>
      <c r="I77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75" t="s">
        <v>780</v>
      </c>
      <c r="K775" t="str">
        <f>RIGHT(Tabla2[[#This Row],[codigo_producto]],LEN(Tabla2[[#This Row],[codigo_producto]])-FIND("/",Tabla2[[#This Row],[codigo_producto]]))</f>
        <v>R1030510301</v>
      </c>
      <c r="L775" t="str">
        <f>LEFT(Tabla2[[#This Row],[codigo_producto]],FIND("/",Tabla2[[#This Row],[codigo_producto]])-1)</f>
        <v>6</v>
      </c>
      <c r="M77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76" spans="1:13" x14ac:dyDescent="0.25">
      <c r="A776" t="s">
        <v>3596</v>
      </c>
      <c r="B776" t="s">
        <v>1827</v>
      </c>
      <c r="C776" t="s">
        <v>1827</v>
      </c>
      <c r="D776">
        <v>32</v>
      </c>
      <c r="E776">
        <v>1</v>
      </c>
      <c r="F776">
        <v>9</v>
      </c>
      <c r="G776">
        <v>12</v>
      </c>
      <c r="H776" t="s">
        <v>2814</v>
      </c>
      <c r="I77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76" t="s">
        <v>781</v>
      </c>
      <c r="K776" t="str">
        <f>RIGHT(Tabla2[[#This Row],[codigo_producto]],LEN(Tabla2[[#This Row],[codigo_producto]])-FIND("/",Tabla2[[#This Row],[codigo_producto]]))</f>
        <v>R1030930200</v>
      </c>
      <c r="L776" t="str">
        <f>LEFT(Tabla2[[#This Row],[codigo_producto]],FIND("/",Tabla2[[#This Row],[codigo_producto]])-1)</f>
        <v>6</v>
      </c>
      <c r="M77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77" spans="1:13" x14ac:dyDescent="0.25">
      <c r="A777" t="s">
        <v>3597</v>
      </c>
      <c r="B777" t="s">
        <v>1799</v>
      </c>
      <c r="C777" t="s">
        <v>1799</v>
      </c>
      <c r="D777">
        <v>32</v>
      </c>
      <c r="E777">
        <v>1</v>
      </c>
      <c r="F777">
        <v>9</v>
      </c>
      <c r="G777">
        <v>12</v>
      </c>
      <c r="H777" t="s">
        <v>2814</v>
      </c>
      <c r="I77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77" t="s">
        <v>782</v>
      </c>
      <c r="K777" t="str">
        <f>RIGHT(Tabla2[[#This Row],[codigo_producto]],LEN(Tabla2[[#This Row],[codigo_producto]])-FIND("/",Tabla2[[#This Row],[codigo_producto]]))</f>
        <v>R1030950311</v>
      </c>
      <c r="L777" t="str">
        <f>LEFT(Tabla2[[#This Row],[codigo_producto]],FIND("/",Tabla2[[#This Row],[codigo_producto]])-1)</f>
        <v>6</v>
      </c>
      <c r="M77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78" spans="1:13" x14ac:dyDescent="0.25">
      <c r="A778" t="s">
        <v>3598</v>
      </c>
      <c r="B778" t="s">
        <v>1715</v>
      </c>
      <c r="C778" t="s">
        <v>1715</v>
      </c>
      <c r="D778">
        <v>32</v>
      </c>
      <c r="E778">
        <v>1</v>
      </c>
      <c r="F778">
        <v>9</v>
      </c>
      <c r="G778">
        <v>12</v>
      </c>
      <c r="H778" t="s">
        <v>2814</v>
      </c>
      <c r="I77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78" t="s">
        <v>783</v>
      </c>
      <c r="K778" t="str">
        <f>RIGHT(Tabla2[[#This Row],[codigo_producto]],LEN(Tabla2[[#This Row],[codigo_producto]])-FIND("/",Tabla2[[#This Row],[codigo_producto]]))</f>
        <v>S1010140400</v>
      </c>
      <c r="L778" t="str">
        <f>LEFT(Tabla2[[#This Row],[codigo_producto]],FIND("/",Tabla2[[#This Row],[codigo_producto]])-1)</f>
        <v>6</v>
      </c>
      <c r="M77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79" spans="1:13" x14ac:dyDescent="0.25">
      <c r="A779" t="s">
        <v>3599</v>
      </c>
      <c r="B779" t="s">
        <v>2268</v>
      </c>
      <c r="C779" t="s">
        <v>2268</v>
      </c>
      <c r="D779">
        <v>32</v>
      </c>
      <c r="E779">
        <v>1</v>
      </c>
      <c r="F779">
        <v>9</v>
      </c>
      <c r="G779">
        <v>12</v>
      </c>
      <c r="H779" t="s">
        <v>2814</v>
      </c>
      <c r="I77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79" t="s">
        <v>784</v>
      </c>
      <c r="K779" t="str">
        <f>RIGHT(Tabla2[[#This Row],[codigo_producto]],LEN(Tabla2[[#This Row],[codigo_producto]])-FIND("/",Tabla2[[#This Row],[codigo_producto]]))</f>
        <v>S1010302100</v>
      </c>
      <c r="L779" t="str">
        <f>LEFT(Tabla2[[#This Row],[codigo_producto]],FIND("/",Tabla2[[#This Row],[codigo_producto]])-1)</f>
        <v>6</v>
      </c>
      <c r="M77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80" spans="1:13" x14ac:dyDescent="0.25">
      <c r="A780" t="s">
        <v>3600</v>
      </c>
      <c r="B780" t="s">
        <v>2269</v>
      </c>
      <c r="C780" t="s">
        <v>2269</v>
      </c>
      <c r="D780">
        <v>32</v>
      </c>
      <c r="E780">
        <v>1</v>
      </c>
      <c r="F780">
        <v>9</v>
      </c>
      <c r="G780">
        <v>12</v>
      </c>
      <c r="H780" t="s">
        <v>2814</v>
      </c>
      <c r="I78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80" t="s">
        <v>785</v>
      </c>
      <c r="K780" t="str">
        <f>RIGHT(Tabla2[[#This Row],[codigo_producto]],LEN(Tabla2[[#This Row],[codigo_producto]])-FIND("/",Tabla2[[#This Row],[codigo_producto]]))</f>
        <v>S1010491000</v>
      </c>
      <c r="L780" t="str">
        <f>LEFT(Tabla2[[#This Row],[codigo_producto]],FIND("/",Tabla2[[#This Row],[codigo_producto]])-1)</f>
        <v>6</v>
      </c>
      <c r="M78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81" spans="1:13" x14ac:dyDescent="0.25">
      <c r="A781" t="s">
        <v>3601</v>
      </c>
      <c r="B781" t="s">
        <v>2270</v>
      </c>
      <c r="C781" t="s">
        <v>2270</v>
      </c>
      <c r="D781">
        <v>32</v>
      </c>
      <c r="E781">
        <v>1</v>
      </c>
      <c r="F781">
        <v>9</v>
      </c>
      <c r="G781">
        <v>12</v>
      </c>
      <c r="H781" t="s">
        <v>2814</v>
      </c>
      <c r="I78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81" t="s">
        <v>786</v>
      </c>
      <c r="K781" t="str">
        <f>RIGHT(Tabla2[[#This Row],[codigo_producto]],LEN(Tabla2[[#This Row],[codigo_producto]])-FIND("/",Tabla2[[#This Row],[codigo_producto]]))</f>
        <v>S1010620304</v>
      </c>
      <c r="L781" t="str">
        <f>LEFT(Tabla2[[#This Row],[codigo_producto]],FIND("/",Tabla2[[#This Row],[codigo_producto]])-1)</f>
        <v>6</v>
      </c>
      <c r="M78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82" spans="1:13" x14ac:dyDescent="0.25">
      <c r="A782" t="s">
        <v>3602</v>
      </c>
      <c r="B782" t="s">
        <v>2271</v>
      </c>
      <c r="C782" t="s">
        <v>2271</v>
      </c>
      <c r="D782">
        <v>32</v>
      </c>
      <c r="E782">
        <v>1</v>
      </c>
      <c r="F782">
        <v>9</v>
      </c>
      <c r="G782">
        <v>12</v>
      </c>
      <c r="H782" t="s">
        <v>2814</v>
      </c>
      <c r="I78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82" t="s">
        <v>787</v>
      </c>
      <c r="K782" t="str">
        <f>RIGHT(Tabla2[[#This Row],[codigo_producto]],LEN(Tabla2[[#This Row],[codigo_producto]])-FIND("/",Tabla2[[#This Row],[codigo_producto]]))</f>
        <v>S1010620305</v>
      </c>
      <c r="L782" t="str">
        <f>LEFT(Tabla2[[#This Row],[codigo_producto]],FIND("/",Tabla2[[#This Row],[codigo_producto]])-1)</f>
        <v>6</v>
      </c>
      <c r="M78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83" spans="1:13" x14ac:dyDescent="0.25">
      <c r="A783" t="s">
        <v>3603</v>
      </c>
      <c r="B783" t="s">
        <v>1721</v>
      </c>
      <c r="C783" t="s">
        <v>1721</v>
      </c>
      <c r="D783">
        <v>32</v>
      </c>
      <c r="E783">
        <v>1</v>
      </c>
      <c r="F783">
        <v>9</v>
      </c>
      <c r="G783">
        <v>12</v>
      </c>
      <c r="H783" t="s">
        <v>2814</v>
      </c>
      <c r="I78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83" t="s">
        <v>788</v>
      </c>
      <c r="K783" t="str">
        <f>RIGHT(Tabla2[[#This Row],[codigo_producto]],LEN(Tabla2[[#This Row],[codigo_producto]])-FIND("/",Tabla2[[#This Row],[codigo_producto]]))</f>
        <v>S1010621202</v>
      </c>
      <c r="L783" t="str">
        <f>LEFT(Tabla2[[#This Row],[codigo_producto]],FIND("/",Tabla2[[#This Row],[codigo_producto]])-1)</f>
        <v>6</v>
      </c>
      <c r="M78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84" spans="1:13" x14ac:dyDescent="0.25">
      <c r="A784" t="s">
        <v>3604</v>
      </c>
      <c r="B784" t="s">
        <v>2272</v>
      </c>
      <c r="C784" t="s">
        <v>2272</v>
      </c>
      <c r="D784">
        <v>32</v>
      </c>
      <c r="E784">
        <v>1</v>
      </c>
      <c r="F784">
        <v>9</v>
      </c>
      <c r="G784">
        <v>12</v>
      </c>
      <c r="H784" t="s">
        <v>2814</v>
      </c>
      <c r="I78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84" t="s">
        <v>789</v>
      </c>
      <c r="K784" t="str">
        <f>RIGHT(Tabla2[[#This Row],[codigo_producto]],LEN(Tabla2[[#This Row],[codigo_producto]])-FIND("/",Tabla2[[#This Row],[codigo_producto]]))</f>
        <v>S1010630404</v>
      </c>
      <c r="L784" t="str">
        <f>LEFT(Tabla2[[#This Row],[codigo_producto]],FIND("/",Tabla2[[#This Row],[codigo_producto]])-1)</f>
        <v>6</v>
      </c>
      <c r="M78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85" spans="1:13" x14ac:dyDescent="0.25">
      <c r="A785" t="s">
        <v>3605</v>
      </c>
      <c r="B785" t="s">
        <v>2273</v>
      </c>
      <c r="C785" t="s">
        <v>2273</v>
      </c>
      <c r="D785">
        <v>32</v>
      </c>
      <c r="E785">
        <v>1</v>
      </c>
      <c r="F785">
        <v>9</v>
      </c>
      <c r="G785">
        <v>12</v>
      </c>
      <c r="H785" t="s">
        <v>2814</v>
      </c>
      <c r="I78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85" t="s">
        <v>790</v>
      </c>
      <c r="K785" t="str">
        <f>RIGHT(Tabla2[[#This Row],[codigo_producto]],LEN(Tabla2[[#This Row],[codigo_producto]])-FIND("/",Tabla2[[#This Row],[codigo_producto]]))</f>
        <v>S1010630406</v>
      </c>
      <c r="L785" t="str">
        <f>LEFT(Tabla2[[#This Row],[codigo_producto]],FIND("/",Tabla2[[#This Row],[codigo_producto]])-1)</f>
        <v>6</v>
      </c>
      <c r="M78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86" spans="1:13" x14ac:dyDescent="0.25">
      <c r="A786" t="s">
        <v>3606</v>
      </c>
      <c r="B786" t="s">
        <v>2032</v>
      </c>
      <c r="C786" t="s">
        <v>2032</v>
      </c>
      <c r="D786">
        <v>32</v>
      </c>
      <c r="E786">
        <v>1</v>
      </c>
      <c r="F786">
        <v>9</v>
      </c>
      <c r="G786">
        <v>12</v>
      </c>
      <c r="H786" t="s">
        <v>2814</v>
      </c>
      <c r="I78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86" t="s">
        <v>791</v>
      </c>
      <c r="K786" t="str">
        <f>RIGHT(Tabla2[[#This Row],[codigo_producto]],LEN(Tabla2[[#This Row],[codigo_producto]])-FIND("/",Tabla2[[#This Row],[codigo_producto]]))</f>
        <v>S2010413700</v>
      </c>
      <c r="L786" t="str">
        <f>LEFT(Tabla2[[#This Row],[codigo_producto]],FIND("/",Tabla2[[#This Row],[codigo_producto]])-1)</f>
        <v>6</v>
      </c>
      <c r="M78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87" spans="1:13" x14ac:dyDescent="0.25">
      <c r="A787" t="s">
        <v>3607</v>
      </c>
      <c r="B787" t="s">
        <v>2274</v>
      </c>
      <c r="C787" t="s">
        <v>2274</v>
      </c>
      <c r="D787">
        <v>32</v>
      </c>
      <c r="E787">
        <v>1</v>
      </c>
      <c r="F787">
        <v>9</v>
      </c>
      <c r="G787">
        <v>12</v>
      </c>
      <c r="H787" t="s">
        <v>2814</v>
      </c>
      <c r="I78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87" t="s">
        <v>792</v>
      </c>
      <c r="K787" t="str">
        <f>RIGHT(Tabla2[[#This Row],[codigo_producto]],LEN(Tabla2[[#This Row],[codigo_producto]])-FIND("/",Tabla2[[#This Row],[codigo_producto]]))</f>
        <v>S2010560200</v>
      </c>
      <c r="L787" t="str">
        <f>LEFT(Tabla2[[#This Row],[codigo_producto]],FIND("/",Tabla2[[#This Row],[codigo_producto]])-1)</f>
        <v>6</v>
      </c>
      <c r="M78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88" spans="1:13" x14ac:dyDescent="0.25">
      <c r="A788" t="s">
        <v>3608</v>
      </c>
      <c r="B788" t="s">
        <v>2275</v>
      </c>
      <c r="C788" t="s">
        <v>2275</v>
      </c>
      <c r="D788">
        <v>32</v>
      </c>
      <c r="E788">
        <v>1</v>
      </c>
      <c r="F788">
        <v>9</v>
      </c>
      <c r="G788">
        <v>12</v>
      </c>
      <c r="H788" t="s">
        <v>2814</v>
      </c>
      <c r="I78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88" t="s">
        <v>793</v>
      </c>
      <c r="K788" t="str">
        <f>RIGHT(Tabla2[[#This Row],[codigo_producto]],LEN(Tabla2[[#This Row],[codigo_producto]])-FIND("/",Tabla2[[#This Row],[codigo_producto]]))</f>
        <v>S2010560900</v>
      </c>
      <c r="L788" t="str">
        <f>LEFT(Tabla2[[#This Row],[codigo_producto]],FIND("/",Tabla2[[#This Row],[codigo_producto]])-1)</f>
        <v>6</v>
      </c>
      <c r="M78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89" spans="1:13" x14ac:dyDescent="0.25">
      <c r="A789" t="s">
        <v>3609</v>
      </c>
      <c r="B789" t="s">
        <v>2276</v>
      </c>
      <c r="C789" t="s">
        <v>2276</v>
      </c>
      <c r="D789">
        <v>32</v>
      </c>
      <c r="E789">
        <v>1</v>
      </c>
      <c r="F789">
        <v>9</v>
      </c>
      <c r="G789">
        <v>12</v>
      </c>
      <c r="H789" t="s">
        <v>2814</v>
      </c>
      <c r="I78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89" t="s">
        <v>794</v>
      </c>
      <c r="K789" t="str">
        <f>RIGHT(Tabla2[[#This Row],[codigo_producto]],LEN(Tabla2[[#This Row],[codigo_producto]])-FIND("/",Tabla2[[#This Row],[codigo_producto]]))</f>
        <v>S2010570300</v>
      </c>
      <c r="L789" t="str">
        <f>LEFT(Tabla2[[#This Row],[codigo_producto]],FIND("/",Tabla2[[#This Row],[codigo_producto]])-1)</f>
        <v>6</v>
      </c>
      <c r="M78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90" spans="1:13" x14ac:dyDescent="0.25">
      <c r="A790" t="s">
        <v>3610</v>
      </c>
      <c r="B790" t="s">
        <v>2277</v>
      </c>
      <c r="C790" t="s">
        <v>2277</v>
      </c>
      <c r="D790">
        <v>32</v>
      </c>
      <c r="E790">
        <v>1</v>
      </c>
      <c r="F790">
        <v>9</v>
      </c>
      <c r="G790">
        <v>12</v>
      </c>
      <c r="H790" t="s">
        <v>2814</v>
      </c>
      <c r="I79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90" t="s">
        <v>795</v>
      </c>
      <c r="K790" t="str">
        <f>RIGHT(Tabla2[[#This Row],[codigo_producto]],LEN(Tabla2[[#This Row],[codigo_producto]])-FIND("/",Tabla2[[#This Row],[codigo_producto]]))</f>
        <v>S2010580300</v>
      </c>
      <c r="L790" t="str">
        <f>LEFT(Tabla2[[#This Row],[codigo_producto]],FIND("/",Tabla2[[#This Row],[codigo_producto]])-1)</f>
        <v>6</v>
      </c>
      <c r="M79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91" spans="1:13" x14ac:dyDescent="0.25">
      <c r="A791" t="s">
        <v>3611</v>
      </c>
      <c r="B791" t="s">
        <v>2278</v>
      </c>
      <c r="C791" t="s">
        <v>2278</v>
      </c>
      <c r="D791">
        <v>32</v>
      </c>
      <c r="E791">
        <v>1</v>
      </c>
      <c r="F791">
        <v>9</v>
      </c>
      <c r="G791">
        <v>12</v>
      </c>
      <c r="H791" t="s">
        <v>2814</v>
      </c>
      <c r="I79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91" t="s">
        <v>796</v>
      </c>
      <c r="K791" t="str">
        <f>RIGHT(Tabla2[[#This Row],[codigo_producto]],LEN(Tabla2[[#This Row],[codigo_producto]])-FIND("/",Tabla2[[#This Row],[codigo_producto]]))</f>
        <v>S2010580900</v>
      </c>
      <c r="L791" t="str">
        <f>LEFT(Tabla2[[#This Row],[codigo_producto]],FIND("/",Tabla2[[#This Row],[codigo_producto]])-1)</f>
        <v>6</v>
      </c>
      <c r="M79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92" spans="1:13" x14ac:dyDescent="0.25">
      <c r="A792" t="s">
        <v>3612</v>
      </c>
      <c r="B792" t="s">
        <v>2146</v>
      </c>
      <c r="C792" t="s">
        <v>2146</v>
      </c>
      <c r="D792">
        <v>32</v>
      </c>
      <c r="E792">
        <v>1</v>
      </c>
      <c r="F792">
        <v>9</v>
      </c>
      <c r="G792">
        <v>12</v>
      </c>
      <c r="H792" t="s">
        <v>2814</v>
      </c>
      <c r="I79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92" t="s">
        <v>797</v>
      </c>
      <c r="K792" t="str">
        <f>RIGHT(Tabla2[[#This Row],[codigo_producto]],LEN(Tabla2[[#This Row],[codigo_producto]])-FIND("/",Tabla2[[#This Row],[codigo_producto]]))</f>
        <v>S2010640500</v>
      </c>
      <c r="L792" t="str">
        <f>LEFT(Tabla2[[#This Row],[codigo_producto]],FIND("/",Tabla2[[#This Row],[codigo_producto]])-1)</f>
        <v>6</v>
      </c>
      <c r="M79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93" spans="1:13" x14ac:dyDescent="0.25">
      <c r="A793" t="s">
        <v>3613</v>
      </c>
      <c r="B793" t="s">
        <v>1715</v>
      </c>
      <c r="C793" t="s">
        <v>1715</v>
      </c>
      <c r="D793">
        <v>32</v>
      </c>
      <c r="E793">
        <v>1</v>
      </c>
      <c r="F793">
        <v>9</v>
      </c>
      <c r="G793">
        <v>12</v>
      </c>
      <c r="H793" t="s">
        <v>2814</v>
      </c>
      <c r="I79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93" t="s">
        <v>798</v>
      </c>
      <c r="K793" t="str">
        <f>RIGHT(Tabla2[[#This Row],[codigo_producto]],LEN(Tabla2[[#This Row],[codigo_producto]])-FIND("/",Tabla2[[#This Row],[codigo_producto]]))</f>
        <v>S3010140903</v>
      </c>
      <c r="L793" t="str">
        <f>LEFT(Tabla2[[#This Row],[codigo_producto]],FIND("/",Tabla2[[#This Row],[codigo_producto]])-1)</f>
        <v>6</v>
      </c>
      <c r="M79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94" spans="1:13" x14ac:dyDescent="0.25">
      <c r="A794" t="s">
        <v>3614</v>
      </c>
      <c r="B794" t="s">
        <v>2279</v>
      </c>
      <c r="C794" t="s">
        <v>2279</v>
      </c>
      <c r="D794">
        <v>32</v>
      </c>
      <c r="E794">
        <v>5</v>
      </c>
      <c r="F794">
        <v>9</v>
      </c>
      <c r="G794">
        <v>12</v>
      </c>
      <c r="H794" t="s">
        <v>2814</v>
      </c>
      <c r="I79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94" t="s">
        <v>799</v>
      </c>
      <c r="K794" t="str">
        <f>RIGHT(Tabla2[[#This Row],[codigo_producto]],LEN(Tabla2[[#This Row],[codigo_producto]])-FIND("/",Tabla2[[#This Row],[codigo_producto]]))</f>
        <v>3741200R001</v>
      </c>
      <c r="L794" t="str">
        <f>LEFT(Tabla2[[#This Row],[codigo_producto]],FIND("/",Tabla2[[#This Row],[codigo_producto]])-1)</f>
        <v>7</v>
      </c>
      <c r="M79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795" spans="1:13" x14ac:dyDescent="0.25">
      <c r="A795" t="s">
        <v>3615</v>
      </c>
      <c r="B795" t="s">
        <v>2280</v>
      </c>
      <c r="C795" t="s">
        <v>2280</v>
      </c>
      <c r="D795">
        <v>32</v>
      </c>
      <c r="E795">
        <v>5</v>
      </c>
      <c r="F795">
        <v>9</v>
      </c>
      <c r="G795">
        <v>12</v>
      </c>
      <c r="H795" t="s">
        <v>2814</v>
      </c>
      <c r="I79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95" t="s">
        <v>800</v>
      </c>
      <c r="K795" t="str">
        <f>RIGHT(Tabla2[[#This Row],[codigo_producto]],LEN(Tabla2[[#This Row],[codigo_producto]])-FIND("/",Tabla2[[#This Row],[codigo_producto]]))</f>
        <v>3741220R001</v>
      </c>
      <c r="L795" t="str">
        <f>LEFT(Tabla2[[#This Row],[codigo_producto]],FIND("/",Tabla2[[#This Row],[codigo_producto]])-1)</f>
        <v>7</v>
      </c>
      <c r="M79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796" spans="1:13" x14ac:dyDescent="0.25">
      <c r="A796" t="s">
        <v>3616</v>
      </c>
      <c r="B796" t="s">
        <v>2281</v>
      </c>
      <c r="C796" t="s">
        <v>2281</v>
      </c>
      <c r="D796">
        <v>32</v>
      </c>
      <c r="E796">
        <v>5</v>
      </c>
      <c r="F796">
        <v>9</v>
      </c>
      <c r="G796">
        <v>12</v>
      </c>
      <c r="H796" t="s">
        <v>2814</v>
      </c>
      <c r="I79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96" t="s">
        <v>801</v>
      </c>
      <c r="K796" t="str">
        <f>RIGHT(Tabla2[[#This Row],[codigo_producto]],LEN(Tabla2[[#This Row],[codigo_producto]])-FIND("/",Tabla2[[#This Row],[codigo_producto]]))</f>
        <v>43030-V7100</v>
      </c>
      <c r="L796" t="str">
        <f>LEFT(Tabla2[[#This Row],[codigo_producto]],FIND("/",Tabla2[[#This Row],[codigo_producto]])-1)</f>
        <v>7</v>
      </c>
      <c r="M79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797" spans="1:13" x14ac:dyDescent="0.25">
      <c r="A797" t="s">
        <v>3617</v>
      </c>
      <c r="B797" t="s">
        <v>2282</v>
      </c>
      <c r="C797" t="s">
        <v>2282</v>
      </c>
      <c r="D797">
        <v>32</v>
      </c>
      <c r="E797">
        <v>5</v>
      </c>
      <c r="F797">
        <v>9</v>
      </c>
      <c r="G797">
        <v>12</v>
      </c>
      <c r="H797" t="s">
        <v>2814</v>
      </c>
      <c r="I79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97" t="s">
        <v>802</v>
      </c>
      <c r="K797" t="str">
        <f>RIGHT(Tabla2[[#This Row],[codigo_producto]],LEN(Tabla2[[#This Row],[codigo_producto]])-FIND("/",Tabla2[[#This Row],[codigo_producto]]))</f>
        <v>51701-44030</v>
      </c>
      <c r="L797" t="str">
        <f>LEFT(Tabla2[[#This Row],[codigo_producto]],FIND("/",Tabla2[[#This Row],[codigo_producto]])-1)</f>
        <v>7</v>
      </c>
      <c r="M79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798" spans="1:13" x14ac:dyDescent="0.25">
      <c r="A798" t="s">
        <v>3618</v>
      </c>
      <c r="B798" t="s">
        <v>2283</v>
      </c>
      <c r="C798" t="s">
        <v>2283</v>
      </c>
      <c r="D798">
        <v>32</v>
      </c>
      <c r="E798">
        <v>5</v>
      </c>
      <c r="F798">
        <v>9</v>
      </c>
      <c r="G798">
        <v>12</v>
      </c>
      <c r="H798" t="s">
        <v>2814</v>
      </c>
      <c r="I79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98" t="s">
        <v>803</v>
      </c>
      <c r="K798" t="str">
        <f>RIGHT(Tabla2[[#This Row],[codigo_producto]],LEN(Tabla2[[#This Row],[codigo_producto]])-FIND("/",Tabla2[[#This Row],[codigo_producto]]))</f>
        <v>51830-44000</v>
      </c>
      <c r="L798" t="str">
        <f>LEFT(Tabla2[[#This Row],[codigo_producto]],FIND("/",Tabla2[[#This Row],[codigo_producto]])-1)</f>
        <v>7</v>
      </c>
      <c r="M79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799" spans="1:13" x14ac:dyDescent="0.25">
      <c r="A799" t="s">
        <v>3619</v>
      </c>
      <c r="B799" t="s">
        <v>2284</v>
      </c>
      <c r="C799" t="s">
        <v>2284</v>
      </c>
      <c r="D799">
        <v>32</v>
      </c>
      <c r="E799">
        <v>5</v>
      </c>
      <c r="F799">
        <v>9</v>
      </c>
      <c r="G799">
        <v>12</v>
      </c>
      <c r="H799" t="s">
        <v>2814</v>
      </c>
      <c r="I79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99" t="s">
        <v>804</v>
      </c>
      <c r="K799" t="str">
        <f>RIGHT(Tabla2[[#This Row],[codigo_producto]],LEN(Tabla2[[#This Row],[codigo_producto]])-FIND("/",Tabla2[[#This Row],[codigo_producto]]))</f>
        <v>KITSEGJACS3</v>
      </c>
      <c r="L799" t="str">
        <f>LEFT(Tabla2[[#This Row],[codigo_producto]],FIND("/",Tabla2[[#This Row],[codigo_producto]])-1)</f>
        <v>7</v>
      </c>
      <c r="M79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800" spans="1:13" x14ac:dyDescent="0.25">
      <c r="A800" t="s">
        <v>3620</v>
      </c>
      <c r="B800" t="s">
        <v>2285</v>
      </c>
      <c r="C800" t="s">
        <v>2285</v>
      </c>
      <c r="D800">
        <v>22</v>
      </c>
      <c r="E800">
        <v>5</v>
      </c>
      <c r="F800">
        <v>9</v>
      </c>
      <c r="G800">
        <v>12</v>
      </c>
      <c r="H800" t="s">
        <v>2815</v>
      </c>
      <c r="I80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800" t="s">
        <v>805</v>
      </c>
      <c r="K800" t="str">
        <f>RIGHT(Tabla2[[#This Row],[codigo_producto]],LEN(Tabla2[[#This Row],[codigo_producto]])-FIND("/",Tabla2[[#This Row],[codigo_producto]]))</f>
        <v>KITSEGJACT6</v>
      </c>
      <c r="L800" t="str">
        <f>LEFT(Tabla2[[#This Row],[codigo_producto]],FIND("/",Tabla2[[#This Row],[codigo_producto]])-1)</f>
        <v>7</v>
      </c>
      <c r="M80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801" spans="1:13" x14ac:dyDescent="0.25">
      <c r="A801" t="s">
        <v>3621</v>
      </c>
      <c r="B801" t="s">
        <v>2286</v>
      </c>
      <c r="C801" t="s">
        <v>2286</v>
      </c>
      <c r="D801">
        <v>25</v>
      </c>
      <c r="E801">
        <v>5</v>
      </c>
      <c r="F801">
        <v>9</v>
      </c>
      <c r="G801">
        <v>12</v>
      </c>
      <c r="H801" t="s">
        <v>2816</v>
      </c>
      <c r="I80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801" t="s">
        <v>806</v>
      </c>
      <c r="K801" t="str">
        <f>RIGHT(Tabla2[[#This Row],[codigo_producto]],LEN(Tabla2[[#This Row],[codigo_producto]])-FIND("/",Tabla2[[#This Row],[codigo_producto]]))</f>
        <v>MAQ004ISOPE</v>
      </c>
      <c r="L801" t="str">
        <f>LEFT(Tabla2[[#This Row],[codigo_producto]],FIND("/",Tabla2[[#This Row],[codigo_producto]])-1)</f>
        <v>7</v>
      </c>
      <c r="M80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802" spans="1:13" x14ac:dyDescent="0.25">
      <c r="A802" t="s">
        <v>3622</v>
      </c>
      <c r="B802" t="s">
        <v>1918</v>
      </c>
      <c r="C802" t="s">
        <v>1918</v>
      </c>
      <c r="D802">
        <v>32</v>
      </c>
      <c r="E802">
        <v>5</v>
      </c>
      <c r="F802">
        <v>9</v>
      </c>
      <c r="G802">
        <v>12</v>
      </c>
      <c r="H802" t="s">
        <v>2814</v>
      </c>
      <c r="I80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02" t="s">
        <v>807</v>
      </c>
      <c r="K802" t="str">
        <f>RIGHT(Tabla2[[#This Row],[codigo_producto]],LEN(Tabla2[[#This Row],[codigo_producto]])-FIND("/",Tabla2[[#This Row],[codigo_producto]]))</f>
        <v>S1011262600</v>
      </c>
      <c r="L802" t="str">
        <f>LEFT(Tabla2[[#This Row],[codigo_producto]],FIND("/",Tabla2[[#This Row],[codigo_producto]])-1)</f>
        <v>7</v>
      </c>
      <c r="M80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803" spans="1:13" x14ac:dyDescent="0.25">
      <c r="A803" t="s">
        <v>3623</v>
      </c>
      <c r="B803" t="s">
        <v>2287</v>
      </c>
      <c r="C803" t="s">
        <v>2287</v>
      </c>
      <c r="D803">
        <v>32</v>
      </c>
      <c r="E803">
        <v>5</v>
      </c>
      <c r="F803">
        <v>9</v>
      </c>
      <c r="G803">
        <v>12</v>
      </c>
      <c r="H803" t="s">
        <v>2814</v>
      </c>
      <c r="I80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03" t="s">
        <v>808</v>
      </c>
      <c r="K803" t="str">
        <f>RIGHT(Tabla2[[#This Row],[codigo_producto]],LEN(Tabla2[[#This Row],[codigo_producto]])-FIND("/",Tabla2[[#This Row],[codigo_producto]]))</f>
        <v>S31030040G0</v>
      </c>
      <c r="L803" t="str">
        <f>LEFT(Tabla2[[#This Row],[codigo_producto]],FIND("/",Tabla2[[#This Row],[codigo_producto]])-1)</f>
        <v>7</v>
      </c>
      <c r="M80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804" spans="1:13" x14ac:dyDescent="0.25">
      <c r="A804" t="s">
        <v>3624</v>
      </c>
      <c r="B804" t="s">
        <v>2288</v>
      </c>
      <c r="C804" t="s">
        <v>2288</v>
      </c>
      <c r="D804">
        <v>32</v>
      </c>
      <c r="E804">
        <v>5</v>
      </c>
      <c r="F804">
        <v>9</v>
      </c>
      <c r="G804">
        <v>12</v>
      </c>
      <c r="H804" t="s">
        <v>2814</v>
      </c>
      <c r="I80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04" t="s">
        <v>809</v>
      </c>
      <c r="K804" t="str">
        <f>RIGHT(Tabla2[[#This Row],[codigo_producto]],LEN(Tabla2[[#This Row],[codigo_producto]])-FIND("/",Tabla2[[#This Row],[codigo_producto]]))</f>
        <v>S35010030F3</v>
      </c>
      <c r="L804" t="str">
        <f>LEFT(Tabla2[[#This Row],[codigo_producto]],FIND("/",Tabla2[[#This Row],[codigo_producto]])-1)</f>
        <v>7</v>
      </c>
      <c r="M80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805" spans="1:13" x14ac:dyDescent="0.25">
      <c r="A805" t="s">
        <v>3625</v>
      </c>
      <c r="B805" t="s">
        <v>2289</v>
      </c>
      <c r="C805" t="s">
        <v>2289</v>
      </c>
      <c r="D805">
        <v>32</v>
      </c>
      <c r="E805">
        <v>8</v>
      </c>
      <c r="F805">
        <v>9</v>
      </c>
      <c r="G805">
        <v>12</v>
      </c>
      <c r="H805" t="s">
        <v>2814</v>
      </c>
      <c r="I80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05" t="s">
        <v>810</v>
      </c>
      <c r="K805" t="str">
        <f>RIGHT(Tabla2[[#This Row],[codigo_producto]],LEN(Tabla2[[#This Row],[codigo_producto]])-FIND("/",Tabla2[[#This Row],[codigo_producto]]))</f>
        <v>2326565D0000</v>
      </c>
      <c r="L805" t="str">
        <f>LEFT(Tabla2[[#This Row],[codigo_producto]],FIND("/",Tabla2[[#This Row],[codigo_producto]])-1)</f>
        <v>1</v>
      </c>
      <c r="M80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806" spans="1:13" x14ac:dyDescent="0.25">
      <c r="A806" t="s">
        <v>3626</v>
      </c>
      <c r="B806" t="s">
        <v>2290</v>
      </c>
      <c r="C806" t="s">
        <v>2290</v>
      </c>
      <c r="D806">
        <v>32</v>
      </c>
      <c r="E806">
        <v>8</v>
      </c>
      <c r="F806">
        <v>9</v>
      </c>
      <c r="G806">
        <v>12</v>
      </c>
      <c r="H806" t="s">
        <v>2814</v>
      </c>
      <c r="I80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06" t="s">
        <v>811</v>
      </c>
      <c r="K806" t="str">
        <f>RIGHT(Tabla2[[#This Row],[codigo_producto]],LEN(Tabla2[[#This Row],[codigo_producto]])-FIND("/",Tabla2[[#This Row],[codigo_producto]]))</f>
        <v>2810478810RX</v>
      </c>
      <c r="L806" t="str">
        <f>LEFT(Tabla2[[#This Row],[codigo_producto]],FIND("/",Tabla2[[#This Row],[codigo_producto]])-1)</f>
        <v>1</v>
      </c>
      <c r="M80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807" spans="1:13" x14ac:dyDescent="0.25">
      <c r="A807" t="s">
        <v>3627</v>
      </c>
      <c r="B807" t="s">
        <v>2291</v>
      </c>
      <c r="C807" t="s">
        <v>2291</v>
      </c>
      <c r="D807">
        <v>32</v>
      </c>
      <c r="E807">
        <v>8</v>
      </c>
      <c r="F807">
        <v>9</v>
      </c>
      <c r="G807">
        <v>12</v>
      </c>
      <c r="H807" t="s">
        <v>2814</v>
      </c>
      <c r="I80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07" t="s">
        <v>812</v>
      </c>
      <c r="K807" t="str">
        <f>RIGHT(Tabla2[[#This Row],[codigo_producto]],LEN(Tabla2[[#This Row],[codigo_producto]])-FIND("/",Tabla2[[#This Row],[codigo_producto]]))</f>
        <v>4241265J0000</v>
      </c>
      <c r="L807" t="str">
        <f>LEFT(Tabla2[[#This Row],[codigo_producto]],FIND("/",Tabla2[[#This Row],[codigo_producto]])-1)</f>
        <v>1</v>
      </c>
      <c r="M80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808" spans="1:13" x14ac:dyDescent="0.25">
      <c r="A808" t="s">
        <v>3628</v>
      </c>
      <c r="B808" t="s">
        <v>2292</v>
      </c>
      <c r="C808" t="s">
        <v>2292</v>
      </c>
      <c r="D808">
        <v>32</v>
      </c>
      <c r="E808">
        <v>8</v>
      </c>
      <c r="F808">
        <v>9</v>
      </c>
      <c r="G808">
        <v>12</v>
      </c>
      <c r="H808" t="s">
        <v>2814</v>
      </c>
      <c r="I80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08" t="s">
        <v>813</v>
      </c>
      <c r="K808" t="str">
        <f>RIGHT(Tabla2[[#This Row],[codigo_producto]],LEN(Tabla2[[#This Row],[codigo_producto]])-FIND("/",Tabla2[[#This Row],[codigo_producto]]))</f>
        <v>5340165D0000</v>
      </c>
      <c r="L808" t="str">
        <f>LEFT(Tabla2[[#This Row],[codigo_producto]],FIND("/",Tabla2[[#This Row],[codigo_producto]])-1)</f>
        <v>1</v>
      </c>
      <c r="M80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809" spans="1:13" x14ac:dyDescent="0.25">
      <c r="A809" t="s">
        <v>3629</v>
      </c>
      <c r="B809" t="s">
        <v>2292</v>
      </c>
      <c r="C809" t="s">
        <v>2292</v>
      </c>
      <c r="D809">
        <v>32</v>
      </c>
      <c r="E809">
        <v>8</v>
      </c>
      <c r="F809">
        <v>9</v>
      </c>
      <c r="G809">
        <v>12</v>
      </c>
      <c r="H809" t="s">
        <v>2814</v>
      </c>
      <c r="I80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09" t="s">
        <v>814</v>
      </c>
      <c r="K809" t="str">
        <f>RIGHT(Tabla2[[#This Row],[codigo_producto]],LEN(Tabla2[[#This Row],[codigo_producto]])-FIND("/",Tabla2[[#This Row],[codigo_producto]]))</f>
        <v>5340265D0000</v>
      </c>
      <c r="L809" t="str">
        <f>LEFT(Tabla2[[#This Row],[codigo_producto]],FIND("/",Tabla2[[#This Row],[codigo_producto]])-1)</f>
        <v>1</v>
      </c>
      <c r="M80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810" spans="1:13" x14ac:dyDescent="0.25">
      <c r="A810" t="s">
        <v>3630</v>
      </c>
      <c r="B810" t="s">
        <v>2293</v>
      </c>
      <c r="C810" t="s">
        <v>2293</v>
      </c>
      <c r="D810">
        <v>32</v>
      </c>
      <c r="E810">
        <v>8</v>
      </c>
      <c r="F810">
        <v>9</v>
      </c>
      <c r="G810">
        <v>12</v>
      </c>
      <c r="H810" t="s">
        <v>2814</v>
      </c>
      <c r="I81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10" t="s">
        <v>815</v>
      </c>
      <c r="K810" t="str">
        <f>RIGHT(Tabla2[[#This Row],[codigo_producto]],LEN(Tabla2[[#This Row],[codigo_producto]])-FIND("/",Tabla2[[#This Row],[codigo_producto]]))</f>
        <v>928330074000</v>
      </c>
      <c r="L810" t="str">
        <f>LEFT(Tabla2[[#This Row],[codigo_producto]],FIND("/",Tabla2[[#This Row],[codigo_producto]])-1)</f>
        <v>1</v>
      </c>
      <c r="M81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811" spans="1:13" x14ac:dyDescent="0.25">
      <c r="A811" t="s">
        <v>3631</v>
      </c>
      <c r="B811" t="s">
        <v>2294</v>
      </c>
      <c r="C811" t="s">
        <v>2294</v>
      </c>
      <c r="D811">
        <v>32</v>
      </c>
      <c r="E811">
        <v>8</v>
      </c>
      <c r="F811">
        <v>9</v>
      </c>
      <c r="G811">
        <v>12</v>
      </c>
      <c r="H811" t="s">
        <v>2814</v>
      </c>
      <c r="I81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11" t="s">
        <v>816</v>
      </c>
      <c r="K811" t="str">
        <f>RIGHT(Tabla2[[#This Row],[codigo_producto]],LEN(Tabla2[[#This Row],[codigo_producto]])-FIND("/",Tabla2[[#This Row],[codigo_producto]]))</f>
        <v>KITSEGNWGVIT</v>
      </c>
      <c r="L811" t="str">
        <f>LEFT(Tabla2[[#This Row],[codigo_producto]],FIND("/",Tabla2[[#This Row],[codigo_producto]])-1)</f>
        <v>1</v>
      </c>
      <c r="M81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812" spans="1:13" x14ac:dyDescent="0.25">
      <c r="A812" t="s">
        <v>3632</v>
      </c>
      <c r="B812" t="s">
        <v>2295</v>
      </c>
      <c r="C812" t="s">
        <v>2295</v>
      </c>
      <c r="D812">
        <v>22</v>
      </c>
      <c r="E812">
        <v>8</v>
      </c>
      <c r="F812">
        <v>9</v>
      </c>
      <c r="G812">
        <v>12</v>
      </c>
      <c r="H812" t="s">
        <v>2815</v>
      </c>
      <c r="I81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812" t="s">
        <v>817</v>
      </c>
      <c r="K812" t="str">
        <f>RIGHT(Tabla2[[#This Row],[codigo_producto]],LEN(Tabla2[[#This Row],[codigo_producto]])-FIND("/",Tabla2[[#This Row],[codigo_producto]]))</f>
        <v>KITSEGSCROSS</v>
      </c>
      <c r="L812" t="str">
        <f>LEFT(Tabla2[[#This Row],[codigo_producto]],FIND("/",Tabla2[[#This Row],[codigo_producto]])-1)</f>
        <v>1</v>
      </c>
      <c r="M81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813" spans="1:13" x14ac:dyDescent="0.25">
      <c r="A813" t="s">
        <v>3633</v>
      </c>
      <c r="B813" t="s">
        <v>2296</v>
      </c>
      <c r="C813" t="s">
        <v>2296</v>
      </c>
      <c r="D813">
        <v>22</v>
      </c>
      <c r="E813">
        <v>8</v>
      </c>
      <c r="F813">
        <v>9</v>
      </c>
      <c r="G813">
        <v>12</v>
      </c>
      <c r="H813" t="s">
        <v>2815</v>
      </c>
      <c r="I81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813" t="s">
        <v>818</v>
      </c>
      <c r="K813" t="str">
        <f>RIGHT(Tabla2[[#This Row],[codigo_producto]],LEN(Tabla2[[#This Row],[codigo_producto]])-FIND("/",Tabla2[[#This Row],[codigo_producto]]))</f>
        <v>KITSEGSUZAPV</v>
      </c>
      <c r="L813" t="str">
        <f>LEFT(Tabla2[[#This Row],[codigo_producto]],FIND("/",Tabla2[[#This Row],[codigo_producto]])-1)</f>
        <v>1</v>
      </c>
      <c r="M81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814" spans="1:13" x14ac:dyDescent="0.25">
      <c r="A814" t="s">
        <v>3634</v>
      </c>
      <c r="B814" t="s">
        <v>2297</v>
      </c>
      <c r="C814" t="s">
        <v>2297</v>
      </c>
      <c r="D814">
        <v>22</v>
      </c>
      <c r="E814">
        <v>8</v>
      </c>
      <c r="F814">
        <v>9</v>
      </c>
      <c r="G814">
        <v>12</v>
      </c>
      <c r="H814" t="s">
        <v>2815</v>
      </c>
      <c r="I81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814" t="s">
        <v>819</v>
      </c>
      <c r="K814" t="str">
        <f>RIGHT(Tabla2[[#This Row],[codigo_producto]],LEN(Tabla2[[#This Row],[codigo_producto]])-FIND("/",Tabla2[[#This Row],[codigo_producto]]))</f>
        <v>KITSEGSUZJIM</v>
      </c>
      <c r="L814" t="str">
        <f>LEFT(Tabla2[[#This Row],[codigo_producto]],FIND("/",Tabla2[[#This Row],[codigo_producto]])-1)</f>
        <v>1</v>
      </c>
      <c r="M81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815" spans="1:13" x14ac:dyDescent="0.25">
      <c r="A815" t="s">
        <v>3635</v>
      </c>
      <c r="B815" t="s">
        <v>2298</v>
      </c>
      <c r="C815" t="s">
        <v>2298</v>
      </c>
      <c r="D815">
        <v>32</v>
      </c>
      <c r="E815">
        <v>8</v>
      </c>
      <c r="F815">
        <v>9</v>
      </c>
      <c r="G815">
        <v>12</v>
      </c>
      <c r="H815" t="s">
        <v>2814</v>
      </c>
      <c r="I81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15" t="s">
        <v>820</v>
      </c>
      <c r="K815" t="str">
        <f>RIGHT(Tabla2[[#This Row],[codigo_producto]],LEN(Tabla2[[#This Row],[codigo_producto]])-FIND("/",Tabla2[[#This Row],[codigo_producto]]))</f>
        <v>SENSORES1071</v>
      </c>
      <c r="L815" t="str">
        <f>LEFT(Tabla2[[#This Row],[codigo_producto]],FIND("/",Tabla2[[#This Row],[codigo_producto]])-1)</f>
        <v>1</v>
      </c>
      <c r="M81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816" spans="1:13" x14ac:dyDescent="0.25">
      <c r="A816" t="s">
        <v>3636</v>
      </c>
      <c r="B816" t="s">
        <v>2299</v>
      </c>
      <c r="C816" t="s">
        <v>2299</v>
      </c>
      <c r="D816">
        <v>32</v>
      </c>
      <c r="E816">
        <v>13</v>
      </c>
      <c r="F816">
        <v>9</v>
      </c>
      <c r="G816">
        <v>12</v>
      </c>
      <c r="H816" t="s">
        <v>2814</v>
      </c>
      <c r="I81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16" t="s">
        <v>821</v>
      </c>
      <c r="K816" t="str">
        <f>RIGHT(Tabla2[[#This Row],[codigo_producto]],LEN(Tabla2[[#This Row],[codigo_producto]])-FIND("/",Tabla2[[#This Row],[codigo_producto]]))</f>
        <v>00720 111 1</v>
      </c>
      <c r="L816" t="str">
        <f>LEFT(Tabla2[[#This Row],[codigo_producto]],FIND("/",Tabla2[[#This Row],[codigo_producto]])-1)</f>
        <v>10</v>
      </c>
      <c r="M81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817" spans="1:13" x14ac:dyDescent="0.25">
      <c r="A817" t="s">
        <v>3637</v>
      </c>
      <c r="B817" t="s">
        <v>2300</v>
      </c>
      <c r="C817" t="s">
        <v>2300</v>
      </c>
      <c r="D817">
        <v>32</v>
      </c>
      <c r="E817">
        <v>13</v>
      </c>
      <c r="F817">
        <v>9</v>
      </c>
      <c r="G817">
        <v>12</v>
      </c>
      <c r="H817" t="s">
        <v>2814</v>
      </c>
      <c r="I81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17" t="s">
        <v>822</v>
      </c>
      <c r="K817" t="str">
        <f>RIGHT(Tabla2[[#This Row],[codigo_producto]],LEN(Tabla2[[#This Row],[codigo_producto]])-FIND("/",Tabla2[[#This Row],[codigo_producto]]))</f>
        <v>00720 116 3</v>
      </c>
      <c r="L817" t="str">
        <f>LEFT(Tabla2[[#This Row],[codigo_producto]],FIND("/",Tabla2[[#This Row],[codigo_producto]])-1)</f>
        <v>10</v>
      </c>
      <c r="M81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818" spans="1:13" x14ac:dyDescent="0.25">
      <c r="A818" t="s">
        <v>3638</v>
      </c>
      <c r="B818" t="s">
        <v>2301</v>
      </c>
      <c r="C818" t="s">
        <v>2301</v>
      </c>
      <c r="D818">
        <v>32</v>
      </c>
      <c r="E818">
        <v>13</v>
      </c>
      <c r="F818">
        <v>9</v>
      </c>
      <c r="G818">
        <v>12</v>
      </c>
      <c r="H818" t="s">
        <v>2814</v>
      </c>
      <c r="I81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18" t="s">
        <v>823</v>
      </c>
      <c r="K818" t="str">
        <f>RIGHT(Tabla2[[#This Row],[codigo_producto]],LEN(Tabla2[[#This Row],[codigo_producto]])-FIND("/",Tabla2[[#This Row],[codigo_producto]]))</f>
        <v>00720 116 7</v>
      </c>
      <c r="L818" t="str">
        <f>LEFT(Tabla2[[#This Row],[codigo_producto]],FIND("/",Tabla2[[#This Row],[codigo_producto]])-1)</f>
        <v>10</v>
      </c>
      <c r="M81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819" spans="1:13" x14ac:dyDescent="0.25">
      <c r="A819" t="s">
        <v>3639</v>
      </c>
      <c r="B819" t="s">
        <v>2302</v>
      </c>
      <c r="C819" t="s">
        <v>2302</v>
      </c>
      <c r="D819">
        <v>32</v>
      </c>
      <c r="E819">
        <v>13</v>
      </c>
      <c r="F819">
        <v>9</v>
      </c>
      <c r="G819">
        <v>12</v>
      </c>
      <c r="H819" t="s">
        <v>2814</v>
      </c>
      <c r="I81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19" t="s">
        <v>824</v>
      </c>
      <c r="K819" t="str">
        <f>RIGHT(Tabla2[[#This Row],[codigo_producto]],LEN(Tabla2[[#This Row],[codigo_producto]])-FIND("/",Tabla2[[#This Row],[codigo_producto]]))</f>
        <v>00720 132 1</v>
      </c>
      <c r="L819" t="str">
        <f>LEFT(Tabla2[[#This Row],[codigo_producto]],FIND("/",Tabla2[[#This Row],[codigo_producto]])-1)</f>
        <v>10</v>
      </c>
      <c r="M81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820" spans="1:13" x14ac:dyDescent="0.25">
      <c r="A820" t="s">
        <v>3640</v>
      </c>
      <c r="B820" t="s">
        <v>2303</v>
      </c>
      <c r="C820" t="s">
        <v>2303</v>
      </c>
      <c r="D820">
        <v>32</v>
      </c>
      <c r="E820">
        <v>13</v>
      </c>
      <c r="F820">
        <v>9</v>
      </c>
      <c r="G820">
        <v>12</v>
      </c>
      <c r="H820" t="s">
        <v>2814</v>
      </c>
      <c r="I82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20" t="s">
        <v>825</v>
      </c>
      <c r="K820" t="str">
        <f>RIGHT(Tabla2[[#This Row],[codigo_producto]],LEN(Tabla2[[#This Row],[codigo_producto]])-FIND("/",Tabla2[[#This Row],[codigo_producto]]))</f>
        <v>00720 134 1</v>
      </c>
      <c r="L820" t="str">
        <f>LEFT(Tabla2[[#This Row],[codigo_producto]],FIND("/",Tabla2[[#This Row],[codigo_producto]])-1)</f>
        <v>10</v>
      </c>
      <c r="M82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821" spans="1:13" x14ac:dyDescent="0.25">
      <c r="A821" t="s">
        <v>3641</v>
      </c>
      <c r="B821" t="s">
        <v>2304</v>
      </c>
      <c r="C821" t="s">
        <v>2304</v>
      </c>
      <c r="D821">
        <v>32</v>
      </c>
      <c r="E821">
        <v>13</v>
      </c>
      <c r="F821">
        <v>9</v>
      </c>
      <c r="G821">
        <v>12</v>
      </c>
      <c r="H821" t="s">
        <v>2814</v>
      </c>
      <c r="I82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21" t="s">
        <v>826</v>
      </c>
      <c r="K821" t="str">
        <f>RIGHT(Tabla2[[#This Row],[codigo_producto]],LEN(Tabla2[[#This Row],[codigo_producto]])-FIND("/",Tabla2[[#This Row],[codigo_producto]]))</f>
        <v>00720 138 3</v>
      </c>
      <c r="L821" t="str">
        <f>LEFT(Tabla2[[#This Row],[codigo_producto]],FIND("/",Tabla2[[#This Row],[codigo_producto]])-1)</f>
        <v>10</v>
      </c>
      <c r="M82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822" spans="1:13" x14ac:dyDescent="0.25">
      <c r="A822" t="s">
        <v>3642</v>
      </c>
      <c r="B822" t="s">
        <v>2305</v>
      </c>
      <c r="C822" t="s">
        <v>2305</v>
      </c>
      <c r="D822">
        <v>32</v>
      </c>
      <c r="E822">
        <v>13</v>
      </c>
      <c r="F822">
        <v>9</v>
      </c>
      <c r="G822">
        <v>12</v>
      </c>
      <c r="H822" t="s">
        <v>2814</v>
      </c>
      <c r="I82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22" t="s">
        <v>827</v>
      </c>
      <c r="K822" t="str">
        <f>RIGHT(Tabla2[[#This Row],[codigo_producto]],LEN(Tabla2[[#This Row],[codigo_producto]])-FIND("/",Tabla2[[#This Row],[codigo_producto]]))</f>
        <v>00720 162 1</v>
      </c>
      <c r="L822" t="str">
        <f>LEFT(Tabla2[[#This Row],[codigo_producto]],FIND("/",Tabla2[[#This Row],[codigo_producto]])-1)</f>
        <v>10</v>
      </c>
      <c r="M82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823" spans="1:13" x14ac:dyDescent="0.25">
      <c r="A823" t="s">
        <v>3643</v>
      </c>
      <c r="B823" t="s">
        <v>2306</v>
      </c>
      <c r="C823" t="s">
        <v>2306</v>
      </c>
      <c r="D823">
        <v>32</v>
      </c>
      <c r="E823">
        <v>13</v>
      </c>
      <c r="F823">
        <v>9</v>
      </c>
      <c r="G823">
        <v>12</v>
      </c>
      <c r="H823" t="s">
        <v>2814</v>
      </c>
      <c r="I82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23" t="s">
        <v>828</v>
      </c>
      <c r="K823" t="str">
        <f>RIGHT(Tabla2[[#This Row],[codigo_producto]],LEN(Tabla2[[#This Row],[codigo_producto]])-FIND("/",Tabla2[[#This Row],[codigo_producto]]))</f>
        <v>00720 171 1</v>
      </c>
      <c r="L823" t="str">
        <f>LEFT(Tabla2[[#This Row],[codigo_producto]],FIND("/",Tabla2[[#This Row],[codigo_producto]])-1)</f>
        <v>10</v>
      </c>
      <c r="M82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824" spans="1:13" x14ac:dyDescent="0.25">
      <c r="A824" t="s">
        <v>3644</v>
      </c>
      <c r="B824" t="s">
        <v>2307</v>
      </c>
      <c r="C824" t="s">
        <v>2307</v>
      </c>
      <c r="D824">
        <v>32</v>
      </c>
      <c r="E824">
        <v>13</v>
      </c>
      <c r="F824">
        <v>9</v>
      </c>
      <c r="G824">
        <v>12</v>
      </c>
      <c r="H824" t="s">
        <v>2814</v>
      </c>
      <c r="I82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24" t="s">
        <v>829</v>
      </c>
      <c r="K824" t="str">
        <f>RIGHT(Tabla2[[#This Row],[codigo_producto]],LEN(Tabla2[[#This Row],[codigo_producto]])-FIND("/",Tabla2[[#This Row],[codigo_producto]]))</f>
        <v>132101U8010</v>
      </c>
      <c r="L824" t="str">
        <f>LEFT(Tabla2[[#This Row],[codigo_producto]],FIND("/",Tabla2[[#This Row],[codigo_producto]])-1)</f>
        <v>10</v>
      </c>
      <c r="M82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825" spans="1:13" x14ac:dyDescent="0.25">
      <c r="A825" t="s">
        <v>3645</v>
      </c>
      <c r="B825" t="s">
        <v>2308</v>
      </c>
      <c r="C825" t="s">
        <v>2308</v>
      </c>
      <c r="D825">
        <v>32</v>
      </c>
      <c r="E825">
        <v>13</v>
      </c>
      <c r="F825">
        <v>9</v>
      </c>
      <c r="G825">
        <v>12</v>
      </c>
      <c r="H825" t="s">
        <v>2814</v>
      </c>
      <c r="I82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25" t="s">
        <v>830</v>
      </c>
      <c r="K825" t="str">
        <f>RIGHT(Tabla2[[#This Row],[codigo_producto]],LEN(Tabla2[[#This Row],[codigo_producto]])-FIND("/",Tabla2[[#This Row],[codigo_producto]]))</f>
        <v>30720 710 1</v>
      </c>
      <c r="L825" t="str">
        <f>LEFT(Tabla2[[#This Row],[codigo_producto]],FIND("/",Tabla2[[#This Row],[codigo_producto]])-1)</f>
        <v>10</v>
      </c>
      <c r="M82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826" spans="1:13" x14ac:dyDescent="0.25">
      <c r="A826" t="s">
        <v>3646</v>
      </c>
      <c r="B826" t="s">
        <v>2309</v>
      </c>
      <c r="C826" t="s">
        <v>2309</v>
      </c>
      <c r="D826">
        <v>32</v>
      </c>
      <c r="E826">
        <v>13</v>
      </c>
      <c r="F826">
        <v>9</v>
      </c>
      <c r="G826">
        <v>12</v>
      </c>
      <c r="H826" t="s">
        <v>2814</v>
      </c>
      <c r="I82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26" t="s">
        <v>831</v>
      </c>
      <c r="K826" t="str">
        <f>RIGHT(Tabla2[[#This Row],[codigo_producto]],LEN(Tabla2[[#This Row],[codigo_producto]])-FIND("/",Tabla2[[#This Row],[codigo_producto]]))</f>
        <v>30720 711 1</v>
      </c>
      <c r="L826" t="str">
        <f>LEFT(Tabla2[[#This Row],[codigo_producto]],FIND("/",Tabla2[[#This Row],[codigo_producto]])-1)</f>
        <v>10</v>
      </c>
      <c r="M82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827" spans="1:13" x14ac:dyDescent="0.25">
      <c r="A827" t="s">
        <v>3647</v>
      </c>
      <c r="B827" t="s">
        <v>2310</v>
      </c>
      <c r="C827" t="s">
        <v>2310</v>
      </c>
      <c r="D827">
        <v>32</v>
      </c>
      <c r="E827">
        <v>13</v>
      </c>
      <c r="F827">
        <v>9</v>
      </c>
      <c r="G827">
        <v>12</v>
      </c>
      <c r="H827" t="s">
        <v>2814</v>
      </c>
      <c r="I82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27" t="s">
        <v>832</v>
      </c>
      <c r="K827" t="str">
        <f>RIGHT(Tabla2[[#This Row],[codigo_producto]],LEN(Tabla2[[#This Row],[codigo_producto]])-FIND("/",Tabla2[[#This Row],[codigo_producto]]))</f>
        <v>30720 712 1</v>
      </c>
      <c r="L827" t="str">
        <f>LEFT(Tabla2[[#This Row],[codigo_producto]],FIND("/",Tabla2[[#This Row],[codigo_producto]])-1)</f>
        <v>10</v>
      </c>
      <c r="M82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828" spans="1:13" x14ac:dyDescent="0.25">
      <c r="A828" t="s">
        <v>3648</v>
      </c>
      <c r="B828" t="s">
        <v>2311</v>
      </c>
      <c r="C828" t="s">
        <v>2311</v>
      </c>
      <c r="D828">
        <v>32</v>
      </c>
      <c r="E828">
        <v>13</v>
      </c>
      <c r="F828">
        <v>9</v>
      </c>
      <c r="G828">
        <v>12</v>
      </c>
      <c r="H828" t="s">
        <v>2814</v>
      </c>
      <c r="I82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28" t="s">
        <v>833</v>
      </c>
      <c r="K828" t="str">
        <f>RIGHT(Tabla2[[#This Row],[codigo_producto]],LEN(Tabla2[[#This Row],[codigo_producto]])-FIND("/",Tabla2[[#This Row],[codigo_producto]]))</f>
        <v>30720 738 3</v>
      </c>
      <c r="L828" t="str">
        <f>LEFT(Tabla2[[#This Row],[codigo_producto]],FIND("/",Tabla2[[#This Row],[codigo_producto]])-1)</f>
        <v>10</v>
      </c>
      <c r="M82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829" spans="1:13" x14ac:dyDescent="0.25">
      <c r="A829" t="s">
        <v>3649</v>
      </c>
      <c r="B829" t="s">
        <v>2312</v>
      </c>
      <c r="C829" t="s">
        <v>2312</v>
      </c>
      <c r="D829">
        <v>32</v>
      </c>
      <c r="E829">
        <v>13</v>
      </c>
      <c r="F829">
        <v>9</v>
      </c>
      <c r="G829">
        <v>12</v>
      </c>
      <c r="H829" t="s">
        <v>2814</v>
      </c>
      <c r="I82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29" t="s">
        <v>834</v>
      </c>
      <c r="K829" t="str">
        <f>RIGHT(Tabla2[[#This Row],[codigo_producto]],LEN(Tabla2[[#This Row],[codigo_producto]])-FIND("/",Tabla2[[#This Row],[codigo_producto]]))</f>
        <v>30720 762 1</v>
      </c>
      <c r="L829" t="str">
        <f>LEFT(Tabla2[[#This Row],[codigo_producto]],FIND("/",Tabla2[[#This Row],[codigo_producto]])-1)</f>
        <v>10</v>
      </c>
      <c r="M82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830" spans="1:13" x14ac:dyDescent="0.25">
      <c r="A830" t="s">
        <v>3650</v>
      </c>
      <c r="B830" t="s">
        <v>2313</v>
      </c>
      <c r="C830" t="s">
        <v>2313</v>
      </c>
      <c r="D830">
        <v>32</v>
      </c>
      <c r="E830">
        <v>13</v>
      </c>
      <c r="F830">
        <v>9</v>
      </c>
      <c r="G830">
        <v>12</v>
      </c>
      <c r="H830" t="s">
        <v>2814</v>
      </c>
      <c r="I83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30" t="s">
        <v>835</v>
      </c>
      <c r="K830" t="str">
        <f>RIGHT(Tabla2[[#This Row],[codigo_producto]],LEN(Tabla2[[#This Row],[codigo_producto]])-FIND("/",Tabla2[[#This Row],[codigo_producto]]))</f>
        <v>30720 763 1</v>
      </c>
      <c r="L830" t="str">
        <f>LEFT(Tabla2[[#This Row],[codigo_producto]],FIND("/",Tabla2[[#This Row],[codigo_producto]])-1)</f>
        <v>10</v>
      </c>
      <c r="M83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831" spans="1:13" x14ac:dyDescent="0.25">
      <c r="A831" t="s">
        <v>3651</v>
      </c>
      <c r="B831" t="s">
        <v>2314</v>
      </c>
      <c r="C831" t="s">
        <v>2314</v>
      </c>
      <c r="D831">
        <v>32</v>
      </c>
      <c r="E831">
        <v>13</v>
      </c>
      <c r="F831">
        <v>9</v>
      </c>
      <c r="G831">
        <v>12</v>
      </c>
      <c r="H831" t="s">
        <v>2814</v>
      </c>
      <c r="I83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31" t="s">
        <v>836</v>
      </c>
      <c r="K831" t="str">
        <f>RIGHT(Tabla2[[#This Row],[codigo_producto]],LEN(Tabla2[[#This Row],[codigo_producto]])-FIND("/",Tabla2[[#This Row],[codigo_producto]]))</f>
        <v>30720 763 2</v>
      </c>
      <c r="L831" t="str">
        <f>LEFT(Tabla2[[#This Row],[codigo_producto]],FIND("/",Tabla2[[#This Row],[codigo_producto]])-1)</f>
        <v>10</v>
      </c>
      <c r="M83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832" spans="1:13" x14ac:dyDescent="0.25">
      <c r="A832" t="s">
        <v>3652</v>
      </c>
      <c r="B832" t="s">
        <v>2315</v>
      </c>
      <c r="C832" t="s">
        <v>2315</v>
      </c>
      <c r="D832">
        <v>32</v>
      </c>
      <c r="E832">
        <v>13</v>
      </c>
      <c r="F832">
        <v>9</v>
      </c>
      <c r="G832">
        <v>12</v>
      </c>
      <c r="H832" t="s">
        <v>2814</v>
      </c>
      <c r="I83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32" t="s">
        <v>837</v>
      </c>
      <c r="K832" t="str">
        <f>RIGHT(Tabla2[[#This Row],[codigo_producto]],LEN(Tabla2[[#This Row],[codigo_producto]])-FIND("/",Tabla2[[#This Row],[codigo_producto]]))</f>
        <v>85W140SHELL</v>
      </c>
      <c r="L832" t="str">
        <f>LEFT(Tabla2[[#This Row],[codigo_producto]],FIND("/",Tabla2[[#This Row],[codigo_producto]])-1)</f>
        <v>10</v>
      </c>
      <c r="M83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833" spans="1:13" x14ac:dyDescent="0.25">
      <c r="A833" t="s">
        <v>3653</v>
      </c>
      <c r="B833" t="s">
        <v>2316</v>
      </c>
      <c r="C833" t="s">
        <v>2316</v>
      </c>
      <c r="D833">
        <v>32</v>
      </c>
      <c r="E833">
        <v>13</v>
      </c>
      <c r="F833">
        <v>9</v>
      </c>
      <c r="G833">
        <v>12</v>
      </c>
      <c r="H833" t="s">
        <v>2814</v>
      </c>
      <c r="I83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33" t="s">
        <v>838</v>
      </c>
      <c r="K833" t="str">
        <f>RIGHT(Tabla2[[#This Row],[codigo_producto]],LEN(Tabla2[[#This Row],[codigo_producto]])-FIND("/",Tabla2[[#This Row],[codigo_producto]]))</f>
        <v>ALPRESAPS25</v>
      </c>
      <c r="L833" t="str">
        <f>LEFT(Tabla2[[#This Row],[codigo_producto]],FIND("/",Tabla2[[#This Row],[codigo_producto]])-1)</f>
        <v>10</v>
      </c>
      <c r="M83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834" spans="1:13" x14ac:dyDescent="0.25">
      <c r="A834" t="s">
        <v>3654</v>
      </c>
      <c r="B834" t="s">
        <v>2317</v>
      </c>
      <c r="C834" t="s">
        <v>2317</v>
      </c>
      <c r="D834">
        <v>25</v>
      </c>
      <c r="E834">
        <v>13</v>
      </c>
      <c r="F834">
        <v>9</v>
      </c>
      <c r="G834">
        <v>12</v>
      </c>
      <c r="H834" t="s">
        <v>2816</v>
      </c>
      <c r="I83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834" t="s">
        <v>839</v>
      </c>
      <c r="K834" t="str">
        <f>RIGHT(Tabla2[[#This Row],[codigo_producto]],LEN(Tabla2[[#This Row],[codigo_producto]])-FIND("/",Tabla2[[#This Row],[codigo_producto]]))</f>
        <v>DPARP024L55</v>
      </c>
      <c r="L834" t="str">
        <f>LEFT(Tabla2[[#This Row],[codigo_producto]],FIND("/",Tabla2[[#This Row],[codigo_producto]])-1)</f>
        <v>10</v>
      </c>
      <c r="M83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835" spans="1:13" x14ac:dyDescent="0.25">
      <c r="A835" t="s">
        <v>3655</v>
      </c>
      <c r="B835" t="s">
        <v>2318</v>
      </c>
      <c r="C835" t="s">
        <v>2318</v>
      </c>
      <c r="D835">
        <v>32</v>
      </c>
      <c r="E835">
        <v>13</v>
      </c>
      <c r="F835">
        <v>9</v>
      </c>
      <c r="G835">
        <v>12</v>
      </c>
      <c r="H835" t="s">
        <v>2814</v>
      </c>
      <c r="I83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35" t="s">
        <v>840</v>
      </c>
      <c r="K835" t="str">
        <f>RIGHT(Tabla2[[#This Row],[codigo_producto]],LEN(Tabla2[[#This Row],[codigo_producto]])-FIND("/",Tabla2[[#This Row],[codigo_producto]]))</f>
        <v>DPMAG1CVTFS</v>
      </c>
      <c r="L835" t="str">
        <f>LEFT(Tabla2[[#This Row],[codigo_producto]],FIND("/",Tabla2[[#This Row],[codigo_producto]])-1)</f>
        <v>10</v>
      </c>
      <c r="M83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836" spans="1:13" x14ac:dyDescent="0.25">
      <c r="A836" t="s">
        <v>3656</v>
      </c>
      <c r="B836" t="s">
        <v>2319</v>
      </c>
      <c r="C836" t="s">
        <v>2319</v>
      </c>
      <c r="D836">
        <v>22</v>
      </c>
      <c r="E836">
        <v>13</v>
      </c>
      <c r="F836">
        <v>9</v>
      </c>
      <c r="G836">
        <v>12</v>
      </c>
      <c r="H836" t="s">
        <v>2815</v>
      </c>
      <c r="I83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836" t="s">
        <v>841</v>
      </c>
      <c r="K836" t="str">
        <f>RIGHT(Tabla2[[#This Row],[codigo_producto]],LEN(Tabla2[[#This Row],[codigo_producto]])-FIND("/",Tabla2[[#This Row],[codigo_producto]]))</f>
        <v>DPMULTIPOER</v>
      </c>
      <c r="L836" t="str">
        <f>LEFT(Tabla2[[#This Row],[codigo_producto]],FIND("/",Tabla2[[#This Row],[codigo_producto]])-1)</f>
        <v>10</v>
      </c>
      <c r="M83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837" spans="1:13" x14ac:dyDescent="0.25">
      <c r="A837" t="s">
        <v>3657</v>
      </c>
      <c r="B837" t="s">
        <v>2320</v>
      </c>
      <c r="C837" t="s">
        <v>2320</v>
      </c>
      <c r="D837">
        <v>22</v>
      </c>
      <c r="E837">
        <v>13</v>
      </c>
      <c r="F837">
        <v>9</v>
      </c>
      <c r="G837">
        <v>12</v>
      </c>
      <c r="H837" t="s">
        <v>2815</v>
      </c>
      <c r="I83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837" t="s">
        <v>842</v>
      </c>
      <c r="K837" t="str">
        <f>RIGHT(Tabla2[[#This Row],[codigo_producto]],LEN(Tabla2[[#This Row],[codigo_producto]])-FIND("/",Tabla2[[#This Row],[codigo_producto]]))</f>
        <v>KITSEGDARGO</v>
      </c>
      <c r="L837" t="str">
        <f>LEFT(Tabla2[[#This Row],[codigo_producto]],FIND("/",Tabla2[[#This Row],[codigo_producto]])-1)</f>
        <v>10</v>
      </c>
      <c r="M83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838" spans="1:13" x14ac:dyDescent="0.25">
      <c r="A838" t="s">
        <v>3444</v>
      </c>
      <c r="B838" t="s">
        <v>2321</v>
      </c>
      <c r="C838" t="s">
        <v>2321</v>
      </c>
      <c r="D838">
        <v>21</v>
      </c>
      <c r="E838">
        <v>13</v>
      </c>
      <c r="F838">
        <v>9</v>
      </c>
      <c r="G838">
        <v>12</v>
      </c>
      <c r="H838" t="s">
        <v>2820</v>
      </c>
      <c r="I83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21</v>
      </c>
      <c r="J838" t="s">
        <v>843</v>
      </c>
      <c r="K838" t="str">
        <f>RIGHT(Tabla2[[#This Row],[codigo_producto]],LEN(Tabla2[[#This Row],[codigo_producto]])-FIND("/",Tabla2[[#This Row],[codigo_producto]]))</f>
        <v>KITSEGDZIRE</v>
      </c>
      <c r="L838" t="str">
        <f>LEFT(Tabla2[[#This Row],[codigo_producto]],FIND("/",Tabla2[[#This Row],[codigo_producto]])-1)</f>
        <v>10</v>
      </c>
      <c r="M83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839" spans="1:13" x14ac:dyDescent="0.25">
      <c r="A839" t="s">
        <v>3658</v>
      </c>
      <c r="B839" t="s">
        <v>2322</v>
      </c>
      <c r="C839" t="s">
        <v>2322</v>
      </c>
      <c r="D839">
        <v>22</v>
      </c>
      <c r="E839">
        <v>13</v>
      </c>
      <c r="F839">
        <v>9</v>
      </c>
      <c r="G839">
        <v>12</v>
      </c>
      <c r="H839" t="s">
        <v>2815</v>
      </c>
      <c r="I83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839" t="s">
        <v>844</v>
      </c>
      <c r="K839" t="str">
        <f>RIGHT(Tabla2[[#This Row],[codigo_producto]],LEN(Tabla2[[#This Row],[codigo_producto]])-FIND("/",Tabla2[[#This Row],[codigo_producto]]))</f>
        <v>KITSEGFRONX</v>
      </c>
      <c r="L839" t="str">
        <f>LEFT(Tabla2[[#This Row],[codigo_producto]],FIND("/",Tabla2[[#This Row],[codigo_producto]])-1)</f>
        <v>10</v>
      </c>
      <c r="M83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840" spans="1:13" x14ac:dyDescent="0.25">
      <c r="A840" t="s">
        <v>3659</v>
      </c>
      <c r="B840" t="s">
        <v>2323</v>
      </c>
      <c r="C840" t="s">
        <v>2323</v>
      </c>
      <c r="D840">
        <v>21</v>
      </c>
      <c r="E840">
        <v>13</v>
      </c>
      <c r="F840">
        <v>9</v>
      </c>
      <c r="G840">
        <v>12</v>
      </c>
      <c r="H840" t="s">
        <v>2820</v>
      </c>
      <c r="I84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21</v>
      </c>
      <c r="J840" t="s">
        <v>845</v>
      </c>
      <c r="K840" t="str">
        <f>RIGHT(Tabla2[[#This Row],[codigo_producto]],LEN(Tabla2[[#This Row],[codigo_producto]])-FIND("/",Tabla2[[#This Row],[codigo_producto]]))</f>
        <v>KITSEGHAVH6</v>
      </c>
      <c r="L840" t="str">
        <f>LEFT(Tabla2[[#This Row],[codigo_producto]],FIND("/",Tabla2[[#This Row],[codigo_producto]])-1)</f>
        <v>10</v>
      </c>
      <c r="M84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841" spans="1:13" x14ac:dyDescent="0.25">
      <c r="A841" t="s">
        <v>3660</v>
      </c>
      <c r="B841" t="s">
        <v>2324</v>
      </c>
      <c r="C841" t="s">
        <v>2324</v>
      </c>
      <c r="D841">
        <v>32</v>
      </c>
      <c r="E841">
        <v>13</v>
      </c>
      <c r="F841">
        <v>9</v>
      </c>
      <c r="G841">
        <v>12</v>
      </c>
      <c r="H841" t="s">
        <v>2814</v>
      </c>
      <c r="I84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41" t="s">
        <v>846</v>
      </c>
      <c r="K841" t="str">
        <f>RIGHT(Tabla2[[#This Row],[codigo_producto]],LEN(Tabla2[[#This Row],[codigo_producto]])-FIND("/",Tabla2[[#This Row],[codigo_producto]]))</f>
        <v>KITSEGJACT8</v>
      </c>
      <c r="L841" t="str">
        <f>LEFT(Tabla2[[#This Row],[codigo_producto]],FIND("/",Tabla2[[#This Row],[codigo_producto]])-1)</f>
        <v>10</v>
      </c>
      <c r="M84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842" spans="1:13" x14ac:dyDescent="0.25">
      <c r="A842" t="s">
        <v>3661</v>
      </c>
      <c r="B842" t="s">
        <v>2325</v>
      </c>
      <c r="C842" t="s">
        <v>2325</v>
      </c>
      <c r="D842">
        <v>21</v>
      </c>
      <c r="E842">
        <v>13</v>
      </c>
      <c r="F842">
        <v>9</v>
      </c>
      <c r="G842">
        <v>12</v>
      </c>
      <c r="H842" t="s">
        <v>2820</v>
      </c>
      <c r="I84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21</v>
      </c>
      <c r="J842" t="s">
        <v>847</v>
      </c>
      <c r="K842" t="str">
        <f>RIGHT(Tabla2[[#This Row],[codigo_producto]],LEN(Tabla2[[#This Row],[codigo_producto]])-FIND("/",Tabla2[[#This Row],[codigo_producto]]))</f>
        <v>KITSEGNWCX5</v>
      </c>
      <c r="L842" t="str">
        <f>LEFT(Tabla2[[#This Row],[codigo_producto]],FIND("/",Tabla2[[#This Row],[codigo_producto]])-1)</f>
        <v>10</v>
      </c>
      <c r="M84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843" spans="1:13" x14ac:dyDescent="0.25">
      <c r="A843" t="s">
        <v>3445</v>
      </c>
      <c r="B843" t="s">
        <v>2326</v>
      </c>
      <c r="C843" t="s">
        <v>2326</v>
      </c>
      <c r="D843">
        <v>32</v>
      </c>
      <c r="E843">
        <v>13</v>
      </c>
      <c r="F843">
        <v>9</v>
      </c>
      <c r="G843">
        <v>12</v>
      </c>
      <c r="H843" t="s">
        <v>2814</v>
      </c>
      <c r="I84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43" t="s">
        <v>848</v>
      </c>
      <c r="K843" t="str">
        <f>RIGHT(Tabla2[[#This Row],[codigo_producto]],LEN(Tabla2[[#This Row],[codigo_producto]])-FIND("/",Tabla2[[#This Row],[codigo_producto]]))</f>
        <v>LFR5A-11-BR</v>
      </c>
      <c r="L843" t="str">
        <f>LEFT(Tabla2[[#This Row],[codigo_producto]],FIND("/",Tabla2[[#This Row],[codigo_producto]])-1)</f>
        <v>10</v>
      </c>
      <c r="M84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844" spans="1:13" x14ac:dyDescent="0.25">
      <c r="A844" t="s">
        <v>3662</v>
      </c>
      <c r="B844" t="s">
        <v>2327</v>
      </c>
      <c r="C844" t="s">
        <v>2327</v>
      </c>
      <c r="D844">
        <v>32</v>
      </c>
      <c r="E844">
        <v>13</v>
      </c>
      <c r="F844">
        <v>9</v>
      </c>
      <c r="G844">
        <v>12</v>
      </c>
      <c r="H844" t="s">
        <v>2814</v>
      </c>
      <c r="I84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44" t="s">
        <v>849</v>
      </c>
      <c r="K844" t="str">
        <f>RIGHT(Tabla2[[#This Row],[codigo_producto]],LEN(Tabla2[[#This Row],[codigo_producto]])-FIND("/",Tabla2[[#This Row],[codigo_producto]]))</f>
        <v>N1KITSEGCX3</v>
      </c>
      <c r="L844" t="str">
        <f>LEFT(Tabla2[[#This Row],[codigo_producto]],FIND("/",Tabla2[[#This Row],[codigo_producto]])-1)</f>
        <v>10</v>
      </c>
      <c r="M84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845" spans="1:13" x14ac:dyDescent="0.25">
      <c r="A845" t="s">
        <v>3663</v>
      </c>
      <c r="B845" t="s">
        <v>2328</v>
      </c>
      <c r="C845" t="s">
        <v>2328</v>
      </c>
      <c r="D845">
        <v>22</v>
      </c>
      <c r="E845">
        <v>13</v>
      </c>
      <c r="F845">
        <v>9</v>
      </c>
      <c r="G845">
        <v>12</v>
      </c>
      <c r="H845" t="s">
        <v>2815</v>
      </c>
      <c r="I84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845" t="s">
        <v>850</v>
      </c>
      <c r="K845" t="str">
        <f>RIGHT(Tabla2[[#This Row],[codigo_producto]],LEN(Tabla2[[#This Row],[codigo_producto]])-FIND("/",Tabla2[[#This Row],[codigo_producto]]))</f>
        <v>N1KITSEGJOL</v>
      </c>
      <c r="L845" t="str">
        <f>LEFT(Tabla2[[#This Row],[codigo_producto]],FIND("/",Tabla2[[#This Row],[codigo_producto]])-1)</f>
        <v>10</v>
      </c>
      <c r="M84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846" spans="1:13" x14ac:dyDescent="0.25">
      <c r="A846" t="s">
        <v>3664</v>
      </c>
      <c r="B846" t="s">
        <v>2329</v>
      </c>
      <c r="C846" t="s">
        <v>2329</v>
      </c>
      <c r="D846">
        <v>31</v>
      </c>
      <c r="E846">
        <v>9</v>
      </c>
      <c r="F846">
        <v>9</v>
      </c>
      <c r="G846">
        <v>12</v>
      </c>
      <c r="H846" t="s">
        <v>2818</v>
      </c>
      <c r="I84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846" t="s">
        <v>851</v>
      </c>
      <c r="K846" t="str">
        <f>RIGHT(Tabla2[[#This Row],[codigo_producto]],LEN(Tabla2[[#This Row],[codigo_producto]])-FIND("/",Tabla2[[#This Row],[codigo_producto]]))</f>
        <v>2905010D800</v>
      </c>
      <c r="L846" t="str">
        <f>LEFT(Tabla2[[#This Row],[codigo_producto]],FIND("/",Tabla2[[#This Row],[codigo_producto]])-1)</f>
        <v>11</v>
      </c>
      <c r="M84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9</v>
      </c>
    </row>
    <row r="847" spans="1:13" x14ac:dyDescent="0.25">
      <c r="A847" t="s">
        <v>3665</v>
      </c>
      <c r="B847" t="s">
        <v>2330</v>
      </c>
      <c r="C847" t="s">
        <v>2330</v>
      </c>
      <c r="D847">
        <v>31</v>
      </c>
      <c r="E847">
        <v>9</v>
      </c>
      <c r="F847">
        <v>9</v>
      </c>
      <c r="G847">
        <v>12</v>
      </c>
      <c r="H847" t="s">
        <v>2818</v>
      </c>
      <c r="I84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847" t="s">
        <v>852</v>
      </c>
      <c r="K847" t="str">
        <f>RIGHT(Tabla2[[#This Row],[codigo_producto]],LEN(Tabla2[[#This Row],[codigo_producto]])-FIND("/",Tabla2[[#This Row],[codigo_producto]]))</f>
        <v>3802950E800</v>
      </c>
      <c r="L847" t="str">
        <f>LEFT(Tabla2[[#This Row],[codigo_producto]],FIND("/",Tabla2[[#This Row],[codigo_producto]])-1)</f>
        <v>11</v>
      </c>
      <c r="M84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9</v>
      </c>
    </row>
    <row r="848" spans="1:13" x14ac:dyDescent="0.25">
      <c r="A848" t="s">
        <v>3666</v>
      </c>
      <c r="B848" t="s">
        <v>2331</v>
      </c>
      <c r="C848" t="s">
        <v>2331</v>
      </c>
      <c r="D848">
        <v>31</v>
      </c>
      <c r="E848">
        <v>9</v>
      </c>
      <c r="F848">
        <v>9</v>
      </c>
      <c r="G848">
        <v>12</v>
      </c>
      <c r="H848" t="s">
        <v>2818</v>
      </c>
      <c r="I84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848" t="s">
        <v>853</v>
      </c>
      <c r="K848" t="str">
        <f>RIGHT(Tabla2[[#This Row],[codigo_producto]],LEN(Tabla2[[#This Row],[codigo_producto]])-FIND("/",Tabla2[[#This Row],[codigo_producto]]))</f>
        <v>640-1012240</v>
      </c>
      <c r="L848" t="str">
        <f>LEFT(Tabla2[[#This Row],[codigo_producto]],FIND("/",Tabla2[[#This Row],[codigo_producto]])-1)</f>
        <v>11</v>
      </c>
      <c r="M84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9</v>
      </c>
    </row>
    <row r="849" spans="1:13" x14ac:dyDescent="0.25">
      <c r="A849" t="s">
        <v>3667</v>
      </c>
      <c r="B849" t="s">
        <v>2332</v>
      </c>
      <c r="C849" t="s">
        <v>2332</v>
      </c>
      <c r="D849">
        <v>25</v>
      </c>
      <c r="E849">
        <v>9</v>
      </c>
      <c r="F849">
        <v>9</v>
      </c>
      <c r="G849">
        <v>12</v>
      </c>
      <c r="H849" t="s">
        <v>2816</v>
      </c>
      <c r="I84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849" t="s">
        <v>854</v>
      </c>
      <c r="K849" t="str">
        <f>RIGHT(Tabla2[[#This Row],[codigo_producto]],LEN(Tabla2[[#This Row],[codigo_producto]])-FIND("/",Tabla2[[#This Row],[codigo_producto]]))</f>
        <v>MAQ001ISOPE</v>
      </c>
      <c r="L849" t="str">
        <f>LEFT(Tabla2[[#This Row],[codigo_producto]],FIND("/",Tabla2[[#This Row],[codigo_producto]])-1)</f>
        <v>11</v>
      </c>
      <c r="M84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9</v>
      </c>
    </row>
    <row r="850" spans="1:13" x14ac:dyDescent="0.25">
      <c r="A850" t="s">
        <v>3668</v>
      </c>
      <c r="B850" t="s">
        <v>2333</v>
      </c>
      <c r="C850" t="s">
        <v>2333</v>
      </c>
      <c r="D850">
        <v>32</v>
      </c>
      <c r="E850">
        <v>9</v>
      </c>
      <c r="F850">
        <v>9</v>
      </c>
      <c r="G850">
        <v>12</v>
      </c>
      <c r="H850" t="s">
        <v>2814</v>
      </c>
      <c r="I85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50" t="s">
        <v>855</v>
      </c>
      <c r="K850" t="str">
        <f>RIGHT(Tabla2[[#This Row],[codigo_producto]],LEN(Tabla2[[#This Row],[codigo_producto]])-FIND("/",Tabla2[[#This Row],[codigo_producto]]))</f>
        <v>MAQ006ISOPE</v>
      </c>
      <c r="L850" t="str">
        <f>LEFT(Tabla2[[#This Row],[codigo_producto]],FIND("/",Tabla2[[#This Row],[codigo_producto]])-1)</f>
        <v>11</v>
      </c>
      <c r="M85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9</v>
      </c>
    </row>
    <row r="851" spans="1:13" x14ac:dyDescent="0.25">
      <c r="A851" t="s">
        <v>3669</v>
      </c>
      <c r="B851" t="s">
        <v>2334</v>
      </c>
      <c r="C851" t="s">
        <v>2334</v>
      </c>
      <c r="D851">
        <v>32</v>
      </c>
      <c r="E851">
        <v>6</v>
      </c>
      <c r="F851">
        <v>9</v>
      </c>
      <c r="G851">
        <v>12</v>
      </c>
      <c r="H851" t="s">
        <v>2814</v>
      </c>
      <c r="I85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51" t="s">
        <v>856</v>
      </c>
      <c r="K851" t="str">
        <f>RIGHT(Tabla2[[#This Row],[codigo_producto]],LEN(Tabla2[[#This Row],[codigo_producto]])-FIND("/",Tabla2[[#This Row],[codigo_producto]]))</f>
        <v>1K0S66171 88</v>
      </c>
      <c r="L851" t="str">
        <f>LEFT(Tabla2[[#This Row],[codigo_producto]],FIND("/",Tabla2[[#This Row],[codigo_producto]])-1)</f>
        <v>2</v>
      </c>
      <c r="M85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852" spans="1:13" x14ac:dyDescent="0.25">
      <c r="A852" t="s">
        <v>3670</v>
      </c>
      <c r="B852" t="s">
        <v>2335</v>
      </c>
      <c r="C852" t="s">
        <v>2335</v>
      </c>
      <c r="D852">
        <v>32</v>
      </c>
      <c r="E852">
        <v>6</v>
      </c>
      <c r="F852">
        <v>9</v>
      </c>
      <c r="G852">
        <v>12</v>
      </c>
      <c r="H852" t="s">
        <v>2814</v>
      </c>
      <c r="I85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52" t="s">
        <v>857</v>
      </c>
      <c r="K852" t="str">
        <f>RIGHT(Tabla2[[#This Row],[codigo_producto]],LEN(Tabla2[[#This Row],[codigo_producto]])-FIND("/",Tabla2[[#This Row],[codigo_producto]]))</f>
        <v>1K6869210 00</v>
      </c>
      <c r="L852" t="str">
        <f>LEFT(Tabla2[[#This Row],[codigo_producto]],FIND("/",Tabla2[[#This Row],[codigo_producto]])-1)</f>
        <v>2</v>
      </c>
      <c r="M85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853" spans="1:13" x14ac:dyDescent="0.25">
      <c r="A853" t="s">
        <v>3671</v>
      </c>
      <c r="B853" t="s">
        <v>2336</v>
      </c>
      <c r="C853" t="s">
        <v>2336</v>
      </c>
      <c r="D853">
        <v>32</v>
      </c>
      <c r="E853">
        <v>6</v>
      </c>
      <c r="F853">
        <v>9</v>
      </c>
      <c r="G853">
        <v>12</v>
      </c>
      <c r="H853" t="s">
        <v>2814</v>
      </c>
      <c r="I85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53" t="s">
        <v>858</v>
      </c>
      <c r="K853" t="str">
        <f>RIGHT(Tabla2[[#This Row],[codigo_producto]],LEN(Tabla2[[#This Row],[codigo_producto]])-FIND("/",Tabla2[[#This Row],[codigo_producto]]))</f>
        <v>995621000OTS</v>
      </c>
      <c r="L853" t="str">
        <f>LEFT(Tabla2[[#This Row],[codigo_producto]],FIND("/",Tabla2[[#This Row],[codigo_producto]])-1)</f>
        <v>2</v>
      </c>
      <c r="M85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854" spans="1:13" x14ac:dyDescent="0.25">
      <c r="A854" t="s">
        <v>3672</v>
      </c>
      <c r="B854" t="s">
        <v>2337</v>
      </c>
      <c r="C854" t="s">
        <v>2337</v>
      </c>
      <c r="D854">
        <v>32</v>
      </c>
      <c r="E854">
        <v>6</v>
      </c>
      <c r="F854">
        <v>9</v>
      </c>
      <c r="G854">
        <v>12</v>
      </c>
      <c r="H854" t="s">
        <v>2814</v>
      </c>
      <c r="I85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54" t="s">
        <v>859</v>
      </c>
      <c r="K854" t="str">
        <f>RIGHT(Tabla2[[#This Row],[codigo_producto]],LEN(Tabla2[[#This Row],[codigo_producto]])-FIND("/",Tabla2[[#This Row],[codigo_producto]]))</f>
        <v>BBY97661XBRL</v>
      </c>
      <c r="L854" t="str">
        <f>LEFT(Tabla2[[#This Row],[codigo_producto]],FIND("/",Tabla2[[#This Row],[codigo_producto]])-1)</f>
        <v>2</v>
      </c>
      <c r="M85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855" spans="1:13" x14ac:dyDescent="0.25">
      <c r="A855" t="s">
        <v>3673</v>
      </c>
      <c r="B855" t="s">
        <v>2338</v>
      </c>
      <c r="C855" t="s">
        <v>2338</v>
      </c>
      <c r="D855">
        <v>32</v>
      </c>
      <c r="E855">
        <v>6</v>
      </c>
      <c r="F855">
        <v>9</v>
      </c>
      <c r="G855">
        <v>12</v>
      </c>
      <c r="H855" t="s">
        <v>2814</v>
      </c>
      <c r="I85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55" t="s">
        <v>860</v>
      </c>
      <c r="K855" t="str">
        <f>RIGHT(Tabla2[[#This Row],[codigo_producto]],LEN(Tabla2[[#This Row],[codigo_producto]])-FIND("/",Tabla2[[#This Row],[codigo_producto]]))</f>
        <v>BHS257L30D02</v>
      </c>
      <c r="L855" t="str">
        <f>LEFT(Tabla2[[#This Row],[codigo_producto]],FIND("/",Tabla2[[#This Row],[codigo_producto]])-1)</f>
        <v>2</v>
      </c>
      <c r="M85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856" spans="1:13" x14ac:dyDescent="0.25">
      <c r="A856" t="s">
        <v>3674</v>
      </c>
      <c r="B856" t="s">
        <v>2337</v>
      </c>
      <c r="C856" t="s">
        <v>2337</v>
      </c>
      <c r="D856">
        <v>32</v>
      </c>
      <c r="E856">
        <v>6</v>
      </c>
      <c r="F856">
        <v>9</v>
      </c>
      <c r="G856">
        <v>12</v>
      </c>
      <c r="H856" t="s">
        <v>2814</v>
      </c>
      <c r="I85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56" t="s">
        <v>861</v>
      </c>
      <c r="K856" t="str">
        <f>RIGHT(Tabla2[[#This Row],[codigo_producto]],LEN(Tabla2[[#This Row],[codigo_producto]])-FIND("/",Tabla2[[#This Row],[codigo_producto]]))</f>
        <v>D1YE7661XARL</v>
      </c>
      <c r="L856" t="str">
        <f>LEFT(Tabla2[[#This Row],[codigo_producto]],FIND("/",Tabla2[[#This Row],[codigo_producto]])-1)</f>
        <v>2</v>
      </c>
      <c r="M85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857" spans="1:13" x14ac:dyDescent="0.25">
      <c r="A857" t="s">
        <v>3675</v>
      </c>
      <c r="B857" t="s">
        <v>2339</v>
      </c>
      <c r="C857" t="s">
        <v>2339</v>
      </c>
      <c r="D857">
        <v>32</v>
      </c>
      <c r="E857">
        <v>6</v>
      </c>
      <c r="F857">
        <v>9</v>
      </c>
      <c r="G857">
        <v>12</v>
      </c>
      <c r="H857" t="s">
        <v>2814</v>
      </c>
      <c r="I85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57" t="s">
        <v>862</v>
      </c>
      <c r="K857" t="str">
        <f>RIGHT(Tabla2[[#This Row],[codigo_producto]],LEN(Tabla2[[#This Row],[codigo_producto]])-FIND("/",Tabla2[[#This Row],[codigo_producto]]))</f>
        <v>DA8A42166OTS</v>
      </c>
      <c r="L857" t="str">
        <f>LEFT(Tabla2[[#This Row],[codigo_producto]],FIND("/",Tabla2[[#This Row],[codigo_producto]])-1)</f>
        <v>2</v>
      </c>
      <c r="M85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858" spans="1:13" x14ac:dyDescent="0.25">
      <c r="A858" t="s">
        <v>3676</v>
      </c>
      <c r="B858" t="s">
        <v>2340</v>
      </c>
      <c r="C858" t="s">
        <v>2340</v>
      </c>
      <c r="D858">
        <v>32</v>
      </c>
      <c r="E858">
        <v>6</v>
      </c>
      <c r="F858">
        <v>9</v>
      </c>
      <c r="G858">
        <v>12</v>
      </c>
      <c r="H858" t="s">
        <v>2814</v>
      </c>
      <c r="I85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58" t="s">
        <v>863</v>
      </c>
      <c r="K858" t="str">
        <f>RIGHT(Tabla2[[#This Row],[codigo_producto]],LEN(Tabla2[[#This Row],[codigo_producto]])-FIND("/",Tabla2[[#This Row],[codigo_producto]]))</f>
        <v>G4YC675XXOTS</v>
      </c>
      <c r="L858" t="str">
        <f>LEFT(Tabla2[[#This Row],[codigo_producto]],FIND("/",Tabla2[[#This Row],[codigo_producto]])-1)</f>
        <v>2</v>
      </c>
      <c r="M85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859" spans="1:13" x14ac:dyDescent="0.25">
      <c r="A859" t="s">
        <v>3677</v>
      </c>
      <c r="B859" t="s">
        <v>2341</v>
      </c>
      <c r="C859" t="s">
        <v>2341</v>
      </c>
      <c r="D859">
        <v>32</v>
      </c>
      <c r="E859">
        <v>6</v>
      </c>
      <c r="F859">
        <v>9</v>
      </c>
      <c r="G859">
        <v>12</v>
      </c>
      <c r="H859" t="s">
        <v>2814</v>
      </c>
      <c r="I85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59" t="s">
        <v>864</v>
      </c>
      <c r="K859" t="str">
        <f>RIGHT(Tabla2[[#This Row],[codigo_producto]],LEN(Tabla2[[#This Row],[codigo_producto]])-FIND("/",Tabla2[[#This Row],[codigo_producto]]))</f>
        <v>GSZE57K80ARL</v>
      </c>
      <c r="L859" t="str">
        <f>LEFT(Tabla2[[#This Row],[codigo_producto]],FIND("/",Tabla2[[#This Row],[codigo_producto]])-1)</f>
        <v>2</v>
      </c>
      <c r="M85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860" spans="1:13" x14ac:dyDescent="0.25">
      <c r="A860" t="s">
        <v>3678</v>
      </c>
      <c r="B860" t="s">
        <v>2342</v>
      </c>
      <c r="C860" t="s">
        <v>2342</v>
      </c>
      <c r="D860">
        <v>32</v>
      </c>
      <c r="E860">
        <v>6</v>
      </c>
      <c r="F860">
        <v>9</v>
      </c>
      <c r="G860">
        <v>12</v>
      </c>
      <c r="H860" t="s">
        <v>2814</v>
      </c>
      <c r="I86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60" t="s">
        <v>865</v>
      </c>
      <c r="K860" t="str">
        <f>RIGHT(Tabla2[[#This Row],[codigo_producto]],LEN(Tabla2[[#This Row],[codigo_producto]])-FIND("/",Tabla2[[#This Row],[codigo_producto]]))</f>
        <v>KAYL510A2OTS</v>
      </c>
      <c r="L860" t="str">
        <f>LEFT(Tabla2[[#This Row],[codigo_producto]],FIND("/",Tabla2[[#This Row],[codigo_producto]])-1)</f>
        <v>2</v>
      </c>
      <c r="M86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861" spans="1:13" x14ac:dyDescent="0.25">
      <c r="A861" t="s">
        <v>3679</v>
      </c>
      <c r="B861" t="s">
        <v>2340</v>
      </c>
      <c r="C861" t="s">
        <v>2340</v>
      </c>
      <c r="D861">
        <v>32</v>
      </c>
      <c r="E861">
        <v>6</v>
      </c>
      <c r="F861">
        <v>9</v>
      </c>
      <c r="G861">
        <v>12</v>
      </c>
      <c r="H861" t="s">
        <v>2814</v>
      </c>
      <c r="I86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61" t="s">
        <v>866</v>
      </c>
      <c r="K861" t="str">
        <f>RIGHT(Tabla2[[#This Row],[codigo_producto]],LEN(Tabla2[[#This Row],[codigo_producto]])-FIND("/",Tabla2[[#This Row],[codigo_producto]]))</f>
        <v>KDY5675XXOTS</v>
      </c>
      <c r="L861" t="str">
        <f>LEFT(Tabla2[[#This Row],[codigo_producto]],FIND("/",Tabla2[[#This Row],[codigo_producto]])-1)</f>
        <v>2</v>
      </c>
      <c r="M86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862" spans="1:13" x14ac:dyDescent="0.25">
      <c r="A862" t="s">
        <v>3680</v>
      </c>
      <c r="B862" t="s">
        <v>2343</v>
      </c>
      <c r="C862" t="s">
        <v>2343</v>
      </c>
      <c r="D862">
        <v>32</v>
      </c>
      <c r="E862">
        <v>6</v>
      </c>
      <c r="F862">
        <v>9</v>
      </c>
      <c r="G862">
        <v>12</v>
      </c>
      <c r="H862" t="s">
        <v>2814</v>
      </c>
      <c r="I86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62" t="s">
        <v>867</v>
      </c>
      <c r="K862" t="str">
        <f>RIGHT(Tabla2[[#This Row],[codigo_producto]],LEN(Tabla2[[#This Row],[codigo_producto]])-FIND("/",Tabla2[[#This Row],[codigo_producto]]))</f>
        <v>KITSEGNWM3HB</v>
      </c>
      <c r="L862" t="str">
        <f>LEFT(Tabla2[[#This Row],[codigo_producto]],FIND("/",Tabla2[[#This Row],[codigo_producto]])-1)</f>
        <v>2</v>
      </c>
      <c r="M86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863" spans="1:13" x14ac:dyDescent="0.25">
      <c r="A863" t="s">
        <v>3681</v>
      </c>
      <c r="B863" t="s">
        <v>2344</v>
      </c>
      <c r="C863" t="s">
        <v>2344</v>
      </c>
      <c r="D863">
        <v>32</v>
      </c>
      <c r="E863">
        <v>6</v>
      </c>
      <c r="F863">
        <v>9</v>
      </c>
      <c r="G863">
        <v>12</v>
      </c>
      <c r="H863" t="s">
        <v>2814</v>
      </c>
      <c r="I86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63" t="s">
        <v>868</v>
      </c>
      <c r="K863" t="str">
        <f>RIGHT(Tabla2[[#This Row],[codigo_producto]],LEN(Tabla2[[#This Row],[codigo_producto]])-FIND("/",Tabla2[[#This Row],[codigo_producto]]))</f>
        <v>KR22691N7 KM</v>
      </c>
      <c r="L863" t="str">
        <f>LEFT(Tabla2[[#This Row],[codigo_producto]],FIND("/",Tabla2[[#This Row],[codigo_producto]])-1)</f>
        <v>2</v>
      </c>
      <c r="M86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864" spans="1:13" x14ac:dyDescent="0.25">
      <c r="A864" t="s">
        <v>3682</v>
      </c>
      <c r="B864" t="s">
        <v>2345</v>
      </c>
      <c r="C864" t="s">
        <v>2345</v>
      </c>
      <c r="D864">
        <v>32</v>
      </c>
      <c r="E864">
        <v>6</v>
      </c>
      <c r="F864">
        <v>9</v>
      </c>
      <c r="G864">
        <v>12</v>
      </c>
      <c r="H864" t="s">
        <v>2814</v>
      </c>
      <c r="I86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64" t="s">
        <v>869</v>
      </c>
      <c r="K864" t="str">
        <f>RIGHT(Tabla2[[#This Row],[codigo_producto]],LEN(Tabla2[[#This Row],[codigo_producto]])-FIND("/",Tabla2[[#This Row],[codigo_producto]]))</f>
        <v>P5Y113350OTS</v>
      </c>
      <c r="L864" t="str">
        <f>LEFT(Tabla2[[#This Row],[codigo_producto]],FIND("/",Tabla2[[#This Row],[codigo_producto]])-1)</f>
        <v>2</v>
      </c>
      <c r="M86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865" spans="1:13" x14ac:dyDescent="0.25">
      <c r="A865" t="s">
        <v>3683</v>
      </c>
      <c r="B865" t="s">
        <v>2346</v>
      </c>
      <c r="C865" t="s">
        <v>2346</v>
      </c>
      <c r="D865">
        <v>32</v>
      </c>
      <c r="E865">
        <v>6</v>
      </c>
      <c r="F865">
        <v>9</v>
      </c>
      <c r="G865">
        <v>12</v>
      </c>
      <c r="H865" t="s">
        <v>2814</v>
      </c>
      <c r="I86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65" t="s">
        <v>870</v>
      </c>
      <c r="K865" t="str">
        <f>RIGHT(Tabla2[[#This Row],[codigo_producto]],LEN(Tabla2[[#This Row],[codigo_producto]])-FIND("/",Tabla2[[#This Row],[codigo_producto]]))</f>
        <v>PEY313350OTS</v>
      </c>
      <c r="L865" t="str">
        <f>LEFT(Tabla2[[#This Row],[codigo_producto]],FIND("/",Tabla2[[#This Row],[codigo_producto]])-1)</f>
        <v>2</v>
      </c>
      <c r="M86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866" spans="1:13" x14ac:dyDescent="0.25">
      <c r="A866" t="s">
        <v>3684</v>
      </c>
      <c r="B866" t="s">
        <v>2347</v>
      </c>
      <c r="C866" t="s">
        <v>2347</v>
      </c>
      <c r="D866">
        <v>32</v>
      </c>
      <c r="E866">
        <v>6</v>
      </c>
      <c r="F866">
        <v>9</v>
      </c>
      <c r="G866">
        <v>12</v>
      </c>
      <c r="H866" t="s">
        <v>2814</v>
      </c>
      <c r="I86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66" t="s">
        <v>871</v>
      </c>
      <c r="K866" t="str">
        <f>RIGHT(Tabla2[[#This Row],[codigo_producto]],LEN(Tabla2[[#This Row],[codigo_producto]])-FIND("/",Tabla2[[#This Row],[codigo_producto]]))</f>
        <v>PYY213350OTS</v>
      </c>
      <c r="L866" t="str">
        <f>LEFT(Tabla2[[#This Row],[codigo_producto]],FIND("/",Tabla2[[#This Row],[codigo_producto]])-1)</f>
        <v>2</v>
      </c>
      <c r="M86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867" spans="1:13" x14ac:dyDescent="0.25">
      <c r="A867" t="s">
        <v>3685</v>
      </c>
      <c r="B867" t="s">
        <v>2348</v>
      </c>
      <c r="C867" t="s">
        <v>2348</v>
      </c>
      <c r="D867">
        <v>32</v>
      </c>
      <c r="E867">
        <v>6</v>
      </c>
      <c r="F867">
        <v>9</v>
      </c>
      <c r="G867">
        <v>12</v>
      </c>
      <c r="H867" t="s">
        <v>2814</v>
      </c>
      <c r="I86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67" t="s">
        <v>872</v>
      </c>
      <c r="K867" t="str">
        <f>RIGHT(Tabla2[[#This Row],[codigo_producto]],LEN(Tabla2[[#This Row],[codigo_producto]])-FIND("/",Tabla2[[#This Row],[codigo_producto]]))</f>
        <v>TK48691N1A64</v>
      </c>
      <c r="L867" t="str">
        <f>LEFT(Tabla2[[#This Row],[codigo_producto]],FIND("/",Tabla2[[#This Row],[codigo_producto]])-1)</f>
        <v>2</v>
      </c>
      <c r="M86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868" spans="1:13" x14ac:dyDescent="0.25">
      <c r="A868" t="s">
        <v>3686</v>
      </c>
      <c r="B868" t="s">
        <v>2349</v>
      </c>
      <c r="C868" t="s">
        <v>2349</v>
      </c>
      <c r="D868">
        <v>32</v>
      </c>
      <c r="E868">
        <v>6</v>
      </c>
      <c r="F868">
        <v>9</v>
      </c>
      <c r="G868">
        <v>12</v>
      </c>
      <c r="H868" t="s">
        <v>2814</v>
      </c>
      <c r="I86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68" t="s">
        <v>873</v>
      </c>
      <c r="K868" t="str">
        <f>RIGHT(Tabla2[[#This Row],[codigo_producto]],LEN(Tabla2[[#This Row],[codigo_producto]])-FIND("/",Tabla2[[#This Row],[codigo_producto]]))</f>
        <v>TK4950031JBB</v>
      </c>
      <c r="L868" t="str">
        <f>LEFT(Tabla2[[#This Row],[codigo_producto]],FIND("/",Tabla2[[#This Row],[codigo_producto]])-1)</f>
        <v>2</v>
      </c>
      <c r="M86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869" spans="1:13" x14ac:dyDescent="0.25">
      <c r="A869" t="s">
        <v>3687</v>
      </c>
      <c r="B869" t="s">
        <v>2350</v>
      </c>
      <c r="C869" t="s">
        <v>2350</v>
      </c>
      <c r="D869">
        <v>32</v>
      </c>
      <c r="E869">
        <v>6</v>
      </c>
      <c r="F869">
        <v>9</v>
      </c>
      <c r="G869">
        <v>12</v>
      </c>
      <c r="H869" t="s">
        <v>2814</v>
      </c>
      <c r="I86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69" t="s">
        <v>874</v>
      </c>
      <c r="K869" t="str">
        <f>RIGHT(Tabla2[[#This Row],[codigo_producto]],LEN(Tabla2[[#This Row],[codigo_producto]])-FIND("/",Tabla2[[#This Row],[codigo_producto]]))</f>
        <v>TKY2675XXOTS</v>
      </c>
      <c r="L869" t="str">
        <f>LEFT(Tabla2[[#This Row],[codigo_producto]],FIND("/",Tabla2[[#This Row],[codigo_producto]])-1)</f>
        <v>2</v>
      </c>
      <c r="M86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870" spans="1:13" x14ac:dyDescent="0.25">
      <c r="A870" t="s">
        <v>3688</v>
      </c>
      <c r="B870" t="s">
        <v>2351</v>
      </c>
      <c r="C870" t="s">
        <v>2351</v>
      </c>
      <c r="D870">
        <v>32</v>
      </c>
      <c r="E870">
        <v>6</v>
      </c>
      <c r="F870">
        <v>9</v>
      </c>
      <c r="G870">
        <v>12</v>
      </c>
      <c r="H870" t="s">
        <v>2814</v>
      </c>
      <c r="I87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70" t="s">
        <v>875</v>
      </c>
      <c r="K870" t="str">
        <f>RIGHT(Tabla2[[#This Row],[codigo_producto]],LEN(Tabla2[[#This Row],[codigo_producto]])-FIND("/",Tabla2[[#This Row],[codigo_producto]]))</f>
        <v>U2Y1187658RL</v>
      </c>
      <c r="L870" t="str">
        <f>LEFT(Tabla2[[#This Row],[codigo_producto]],FIND("/",Tabla2[[#This Row],[codigo_producto]])-1)</f>
        <v>2</v>
      </c>
      <c r="M87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871" spans="1:13" x14ac:dyDescent="0.25">
      <c r="A871" t="s">
        <v>3689</v>
      </c>
      <c r="B871" t="s">
        <v>2352</v>
      </c>
      <c r="C871" t="s">
        <v>2352</v>
      </c>
      <c r="D871">
        <v>32</v>
      </c>
      <c r="E871">
        <v>6</v>
      </c>
      <c r="F871">
        <v>9</v>
      </c>
      <c r="G871">
        <v>12</v>
      </c>
      <c r="H871" t="s">
        <v>2814</v>
      </c>
      <c r="I87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71" t="s">
        <v>876</v>
      </c>
      <c r="K871" t="str">
        <f>RIGHT(Tabla2[[#This Row],[codigo_producto]],LEN(Tabla2[[#This Row],[codigo_producto]])-FIND("/",Tabla2[[#This Row],[codigo_producto]]))</f>
        <v>U601199G0JRL</v>
      </c>
      <c r="L871" t="str">
        <f>LEFT(Tabla2[[#This Row],[codigo_producto]],FIND("/",Tabla2[[#This Row],[codigo_producto]])-1)</f>
        <v>2</v>
      </c>
      <c r="M87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872" spans="1:13" x14ac:dyDescent="0.25">
      <c r="A872" t="s">
        <v>3690</v>
      </c>
      <c r="B872" t="s">
        <v>2076</v>
      </c>
      <c r="C872" t="s">
        <v>2076</v>
      </c>
      <c r="D872">
        <v>32</v>
      </c>
      <c r="E872">
        <v>7</v>
      </c>
      <c r="F872">
        <v>9</v>
      </c>
      <c r="G872">
        <v>12</v>
      </c>
      <c r="H872" t="s">
        <v>2814</v>
      </c>
      <c r="I87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72" t="s">
        <v>877</v>
      </c>
      <c r="K872" t="str">
        <f>RIGHT(Tabla2[[#This Row],[codigo_producto]],LEN(Tabla2[[#This Row],[codigo_producto]])-FIND("/",Tabla2[[#This Row],[codigo_producto]]))</f>
        <v>KITSEGCAPTUR</v>
      </c>
      <c r="L872" t="str">
        <f>LEFT(Tabla2[[#This Row],[codigo_producto]],FIND("/",Tabla2[[#This Row],[codigo_producto]])-1)</f>
        <v>3</v>
      </c>
      <c r="M87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873" spans="1:13" x14ac:dyDescent="0.25">
      <c r="A873" t="s">
        <v>3691</v>
      </c>
      <c r="B873" t="s">
        <v>2353</v>
      </c>
      <c r="C873" t="s">
        <v>2353</v>
      </c>
      <c r="D873">
        <v>22</v>
      </c>
      <c r="E873">
        <v>7</v>
      </c>
      <c r="F873">
        <v>9</v>
      </c>
      <c r="G873">
        <v>12</v>
      </c>
      <c r="H873" t="s">
        <v>2815</v>
      </c>
      <c r="I87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873" t="s">
        <v>878</v>
      </c>
      <c r="K873" t="str">
        <f>RIGHT(Tabla2[[#This Row],[codigo_producto]],LEN(Tabla2[[#This Row],[codigo_producto]])-FIND("/",Tabla2[[#This Row],[codigo_producto]]))</f>
        <v>KITSEGDUSTER</v>
      </c>
      <c r="L873" t="str">
        <f>LEFT(Tabla2[[#This Row],[codigo_producto]],FIND("/",Tabla2[[#This Row],[codigo_producto]])-1)</f>
        <v>3</v>
      </c>
      <c r="M87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874" spans="1:13" x14ac:dyDescent="0.25">
      <c r="A874" t="s">
        <v>3692</v>
      </c>
      <c r="B874" t="s">
        <v>2354</v>
      </c>
      <c r="C874" t="s">
        <v>2354</v>
      </c>
      <c r="D874">
        <v>22</v>
      </c>
      <c r="E874">
        <v>7</v>
      </c>
      <c r="F874">
        <v>9</v>
      </c>
      <c r="G874">
        <v>12</v>
      </c>
      <c r="H874" t="s">
        <v>2815</v>
      </c>
      <c r="I87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874" t="s">
        <v>879</v>
      </c>
      <c r="K874" t="str">
        <f>RIGHT(Tabla2[[#This Row],[codigo_producto]],LEN(Tabla2[[#This Row],[codigo_producto]])-FIND("/",Tabla2[[#This Row],[codigo_producto]]))</f>
        <v>KITSEGKOLEOS</v>
      </c>
      <c r="L874" t="str">
        <f>LEFT(Tabla2[[#This Row],[codigo_producto]],FIND("/",Tabla2[[#This Row],[codigo_producto]])-1)</f>
        <v>3</v>
      </c>
      <c r="M87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875" spans="1:13" x14ac:dyDescent="0.25">
      <c r="A875" t="s">
        <v>3693</v>
      </c>
      <c r="B875" t="s">
        <v>2355</v>
      </c>
      <c r="C875" t="s">
        <v>2355</v>
      </c>
      <c r="D875">
        <v>32</v>
      </c>
      <c r="E875">
        <v>3</v>
      </c>
      <c r="F875">
        <v>9</v>
      </c>
      <c r="G875">
        <v>12</v>
      </c>
      <c r="H875" t="s">
        <v>2814</v>
      </c>
      <c r="I87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75" t="s">
        <v>880</v>
      </c>
      <c r="K875" t="str">
        <f>RIGHT(Tabla2[[#This Row],[codigo_producto]],LEN(Tabla2[[#This Row],[codigo_producto]])-FIND("/",Tabla2[[#This Row],[codigo_producto]]))</f>
        <v>1002450E02A1</v>
      </c>
      <c r="L875" t="str">
        <f>LEFT(Tabla2[[#This Row],[codigo_producto]],FIND("/",Tabla2[[#This Row],[codigo_producto]])-1)</f>
        <v>5</v>
      </c>
      <c r="M87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876" spans="1:13" x14ac:dyDescent="0.25">
      <c r="A876" t="s">
        <v>3694</v>
      </c>
      <c r="B876" t="s">
        <v>2356</v>
      </c>
      <c r="C876" t="s">
        <v>2356</v>
      </c>
      <c r="D876">
        <v>31</v>
      </c>
      <c r="E876">
        <v>3</v>
      </c>
      <c r="F876">
        <v>9</v>
      </c>
      <c r="G876">
        <v>12</v>
      </c>
      <c r="H876" t="s">
        <v>2818</v>
      </c>
      <c r="I87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876" t="s">
        <v>881</v>
      </c>
      <c r="K876" t="str">
        <f>RIGHT(Tabla2[[#This Row],[codigo_producto]],LEN(Tabla2[[#This Row],[codigo_producto]])-FIND("/",Tabla2[[#This Row],[codigo_producto]]))</f>
        <v>1003200XEC01</v>
      </c>
      <c r="L876" t="str">
        <f>LEFT(Tabla2[[#This Row],[codigo_producto]],FIND("/",Tabla2[[#This Row],[codigo_producto]])-1)</f>
        <v>5</v>
      </c>
      <c r="M87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877" spans="1:13" x14ac:dyDescent="0.25">
      <c r="A877" t="s">
        <v>3695</v>
      </c>
      <c r="B877" t="s">
        <v>2357</v>
      </c>
      <c r="C877" t="s">
        <v>2357</v>
      </c>
      <c r="D877">
        <v>31</v>
      </c>
      <c r="E877">
        <v>3</v>
      </c>
      <c r="F877">
        <v>9</v>
      </c>
      <c r="G877">
        <v>12</v>
      </c>
      <c r="H877" t="s">
        <v>2818</v>
      </c>
      <c r="I87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877" t="s">
        <v>882</v>
      </c>
      <c r="K877" t="str">
        <f>RIGHT(Tabla2[[#This Row],[codigo_producto]],LEN(Tabla2[[#This Row],[codigo_producto]])-FIND("/",Tabla2[[#This Row],[codigo_producto]]))</f>
        <v>1003200XED95</v>
      </c>
      <c r="L877" t="str">
        <f>LEFT(Tabla2[[#This Row],[codigo_producto]],FIND("/",Tabla2[[#This Row],[codigo_producto]])-1)</f>
        <v>5</v>
      </c>
      <c r="M87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878" spans="1:13" x14ac:dyDescent="0.25">
      <c r="A878" t="s">
        <v>3696</v>
      </c>
      <c r="B878" t="s">
        <v>2358</v>
      </c>
      <c r="C878" t="s">
        <v>2358</v>
      </c>
      <c r="D878">
        <v>32</v>
      </c>
      <c r="E878">
        <v>3</v>
      </c>
      <c r="F878">
        <v>9</v>
      </c>
      <c r="G878">
        <v>12</v>
      </c>
      <c r="H878" t="s">
        <v>2814</v>
      </c>
      <c r="I87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78" t="s">
        <v>883</v>
      </c>
      <c r="K878" t="str">
        <f>RIGHT(Tabla2[[#This Row],[codigo_producto]],LEN(Tabla2[[#This Row],[codigo_producto]])-FIND("/",Tabla2[[#This Row],[codigo_producto]]))</f>
        <v>1003920XEN01</v>
      </c>
      <c r="L878" t="str">
        <f>LEFT(Tabla2[[#This Row],[codigo_producto]],FIND("/",Tabla2[[#This Row],[codigo_producto]])-1)</f>
        <v>5</v>
      </c>
      <c r="M87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879" spans="1:13" x14ac:dyDescent="0.25">
      <c r="A879" t="s">
        <v>3697</v>
      </c>
      <c r="B879" t="s">
        <v>2359</v>
      </c>
      <c r="C879" t="s">
        <v>2359</v>
      </c>
      <c r="D879">
        <v>31</v>
      </c>
      <c r="E879">
        <v>3</v>
      </c>
      <c r="F879">
        <v>9</v>
      </c>
      <c r="G879">
        <v>12</v>
      </c>
      <c r="H879" t="s">
        <v>2818</v>
      </c>
      <c r="I87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879" t="s">
        <v>884</v>
      </c>
      <c r="K879" t="str">
        <f>RIGHT(Tabla2[[#This Row],[codigo_producto]],LEN(Tabla2[[#This Row],[codigo_producto]])-FIND("/",Tabla2[[#This Row],[codigo_producto]]))</f>
        <v>1007011XED95</v>
      </c>
      <c r="L879" t="str">
        <f>LEFT(Tabla2[[#This Row],[codigo_producto]],FIND("/",Tabla2[[#This Row],[codigo_producto]])-1)</f>
        <v>5</v>
      </c>
      <c r="M87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880" spans="1:13" x14ac:dyDescent="0.25">
      <c r="A880" t="s">
        <v>3698</v>
      </c>
      <c r="B880" t="s">
        <v>2360</v>
      </c>
      <c r="C880" t="s">
        <v>2360</v>
      </c>
      <c r="D880">
        <v>31</v>
      </c>
      <c r="E880">
        <v>3</v>
      </c>
      <c r="F880">
        <v>9</v>
      </c>
      <c r="G880">
        <v>12</v>
      </c>
      <c r="H880" t="s">
        <v>2818</v>
      </c>
      <c r="I88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880" t="s">
        <v>885</v>
      </c>
      <c r="K880" t="str">
        <f>RIGHT(Tabla2[[#This Row],[codigo_producto]],LEN(Tabla2[[#This Row],[codigo_producto]])-FIND("/",Tabla2[[#This Row],[codigo_producto]]))</f>
        <v>1007012XED95</v>
      </c>
      <c r="L880" t="str">
        <f>LEFT(Tabla2[[#This Row],[codigo_producto]],FIND("/",Tabla2[[#This Row],[codigo_producto]])-1)</f>
        <v>5</v>
      </c>
      <c r="M88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881" spans="1:13" x14ac:dyDescent="0.25">
      <c r="A881" t="s">
        <v>3699</v>
      </c>
      <c r="B881" t="s">
        <v>1899</v>
      </c>
      <c r="C881" t="s">
        <v>1899</v>
      </c>
      <c r="D881">
        <v>32</v>
      </c>
      <c r="E881">
        <v>3</v>
      </c>
      <c r="F881">
        <v>9</v>
      </c>
      <c r="G881">
        <v>12</v>
      </c>
      <c r="H881" t="s">
        <v>2814</v>
      </c>
      <c r="I88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81" t="s">
        <v>886</v>
      </c>
      <c r="K881" t="str">
        <f>RIGHT(Tabla2[[#This Row],[codigo_producto]],LEN(Tabla2[[#This Row],[codigo_producto]])-FIND("/",Tabla2[[#This Row],[codigo_producto]]))</f>
        <v>1007100CED01</v>
      </c>
      <c r="L881" t="str">
        <f>LEFT(Tabla2[[#This Row],[codigo_producto]],FIND("/",Tabla2[[#This Row],[codigo_producto]])-1)</f>
        <v>5</v>
      </c>
      <c r="M88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882" spans="1:13" x14ac:dyDescent="0.25">
      <c r="A882" t="s">
        <v>3700</v>
      </c>
      <c r="B882" t="s">
        <v>2361</v>
      </c>
      <c r="C882" t="s">
        <v>2361</v>
      </c>
      <c r="D882">
        <v>31</v>
      </c>
      <c r="E882">
        <v>3</v>
      </c>
      <c r="F882">
        <v>9</v>
      </c>
      <c r="G882">
        <v>12</v>
      </c>
      <c r="H882" t="s">
        <v>2818</v>
      </c>
      <c r="I88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882" t="s">
        <v>887</v>
      </c>
      <c r="K882" t="str">
        <f>RIGHT(Tabla2[[#This Row],[codigo_producto]],LEN(Tabla2[[#This Row],[codigo_producto]])-FIND("/",Tabla2[[#This Row],[codigo_producto]]))</f>
        <v>1008101XED95</v>
      </c>
      <c r="L882" t="str">
        <f>LEFT(Tabla2[[#This Row],[codigo_producto]],FIND("/",Tabla2[[#This Row],[codigo_producto]])-1)</f>
        <v>5</v>
      </c>
      <c r="M88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883" spans="1:13" x14ac:dyDescent="0.25">
      <c r="A883" t="s">
        <v>3701</v>
      </c>
      <c r="B883" t="s">
        <v>2362</v>
      </c>
      <c r="C883" t="s">
        <v>2362</v>
      </c>
      <c r="D883">
        <v>31</v>
      </c>
      <c r="E883">
        <v>3</v>
      </c>
      <c r="F883">
        <v>9</v>
      </c>
      <c r="G883">
        <v>12</v>
      </c>
      <c r="H883" t="s">
        <v>2818</v>
      </c>
      <c r="I88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883" t="s">
        <v>888</v>
      </c>
      <c r="K883" t="str">
        <f>RIGHT(Tabla2[[#This Row],[codigo_producto]],LEN(Tabla2[[#This Row],[codigo_producto]])-FIND("/",Tabla2[[#This Row],[codigo_producto]]))</f>
        <v>1008300XED61</v>
      </c>
      <c r="L883" t="str">
        <f>LEFT(Tabla2[[#This Row],[codigo_producto]],FIND("/",Tabla2[[#This Row],[codigo_producto]])-1)</f>
        <v>5</v>
      </c>
      <c r="M88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884" spans="1:13" x14ac:dyDescent="0.25">
      <c r="A884" t="s">
        <v>3702</v>
      </c>
      <c r="B884" t="s">
        <v>1793</v>
      </c>
      <c r="C884" t="s">
        <v>1793</v>
      </c>
      <c r="D884">
        <v>32</v>
      </c>
      <c r="E884">
        <v>3</v>
      </c>
      <c r="F884">
        <v>9</v>
      </c>
      <c r="G884">
        <v>12</v>
      </c>
      <c r="H884" t="s">
        <v>2814</v>
      </c>
      <c r="I88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84" t="s">
        <v>889</v>
      </c>
      <c r="K884" t="str">
        <f>RIGHT(Tabla2[[#This Row],[codigo_producto]],LEN(Tabla2[[#This Row],[codigo_producto]])-FIND("/",Tabla2[[#This Row],[codigo_producto]]))</f>
        <v>1009305XEC06</v>
      </c>
      <c r="L884" t="str">
        <f>LEFT(Tabla2[[#This Row],[codigo_producto]],FIND("/",Tabla2[[#This Row],[codigo_producto]])-1)</f>
        <v>5</v>
      </c>
      <c r="M88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885" spans="1:13" x14ac:dyDescent="0.25">
      <c r="A885" t="s">
        <v>3703</v>
      </c>
      <c r="B885" t="s">
        <v>1733</v>
      </c>
      <c r="C885" t="s">
        <v>1733</v>
      </c>
      <c r="D885">
        <v>32</v>
      </c>
      <c r="E885">
        <v>3</v>
      </c>
      <c r="F885">
        <v>9</v>
      </c>
      <c r="G885">
        <v>12</v>
      </c>
      <c r="H885" t="s">
        <v>2814</v>
      </c>
      <c r="I88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85" t="s">
        <v>890</v>
      </c>
      <c r="K885" t="str">
        <f>RIGHT(Tabla2[[#This Row],[codigo_producto]],LEN(Tabla2[[#This Row],[codigo_producto]])-FIND("/",Tabla2[[#This Row],[codigo_producto]]))</f>
        <v>1017100AEC01</v>
      </c>
      <c r="L885" t="str">
        <f>LEFT(Tabla2[[#This Row],[codigo_producto]],FIND("/",Tabla2[[#This Row],[codigo_producto]])-1)</f>
        <v>5</v>
      </c>
      <c r="M88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886" spans="1:13" x14ac:dyDescent="0.25">
      <c r="A886" t="s">
        <v>3704</v>
      </c>
      <c r="B886" t="s">
        <v>1712</v>
      </c>
      <c r="C886" t="s">
        <v>1712</v>
      </c>
      <c r="D886">
        <v>32</v>
      </c>
      <c r="E886">
        <v>3</v>
      </c>
      <c r="F886">
        <v>9</v>
      </c>
      <c r="G886">
        <v>12</v>
      </c>
      <c r="H886" t="s">
        <v>2814</v>
      </c>
      <c r="I88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86" t="s">
        <v>891</v>
      </c>
      <c r="K886" t="str">
        <f>RIGHT(Tabla2[[#This Row],[codigo_producto]],LEN(Tabla2[[#This Row],[codigo_producto]])-FIND("/",Tabla2[[#This Row],[codigo_producto]]))</f>
        <v>1017110XED95</v>
      </c>
      <c r="L886" t="str">
        <f>LEFT(Tabla2[[#This Row],[codigo_producto]],FIND("/",Tabla2[[#This Row],[codigo_producto]])-1)</f>
        <v>5</v>
      </c>
      <c r="M88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887" spans="1:13" x14ac:dyDescent="0.25">
      <c r="A887" t="s">
        <v>3705</v>
      </c>
      <c r="B887" t="s">
        <v>1712</v>
      </c>
      <c r="C887" t="s">
        <v>1712</v>
      </c>
      <c r="D887">
        <v>31</v>
      </c>
      <c r="E887">
        <v>3</v>
      </c>
      <c r="F887">
        <v>9</v>
      </c>
      <c r="G887">
        <v>12</v>
      </c>
      <c r="H887" t="s">
        <v>2818</v>
      </c>
      <c r="I88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887" t="s">
        <v>892</v>
      </c>
      <c r="K887" t="str">
        <f>RIGHT(Tabla2[[#This Row],[codigo_producto]],LEN(Tabla2[[#This Row],[codigo_producto]])-FIND("/",Tabla2[[#This Row],[codigo_producto]]))</f>
        <v>1017110XEN01</v>
      </c>
      <c r="L887" t="str">
        <f>LEFT(Tabla2[[#This Row],[codigo_producto]],FIND("/",Tabla2[[#This Row],[codigo_producto]])-1)</f>
        <v>5</v>
      </c>
      <c r="M88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888" spans="1:13" x14ac:dyDescent="0.25">
      <c r="A888" t="s">
        <v>3706</v>
      </c>
      <c r="B888" t="s">
        <v>2363</v>
      </c>
      <c r="C888" t="s">
        <v>2363</v>
      </c>
      <c r="D888">
        <v>32</v>
      </c>
      <c r="E888">
        <v>3</v>
      </c>
      <c r="F888">
        <v>9</v>
      </c>
      <c r="G888">
        <v>12</v>
      </c>
      <c r="H888" t="s">
        <v>2814</v>
      </c>
      <c r="I88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88" t="s">
        <v>893</v>
      </c>
      <c r="K888" t="str">
        <f>RIGHT(Tabla2[[#This Row],[codigo_producto]],LEN(Tabla2[[#This Row],[codigo_producto]])-FIND("/",Tabla2[[#This Row],[codigo_producto]]))</f>
        <v>1021701XED61</v>
      </c>
      <c r="L888" t="str">
        <f>LEFT(Tabla2[[#This Row],[codigo_producto]],FIND("/",Tabla2[[#This Row],[codigo_producto]])-1)</f>
        <v>5</v>
      </c>
      <c r="M88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889" spans="1:13" x14ac:dyDescent="0.25">
      <c r="A889" t="s">
        <v>3707</v>
      </c>
      <c r="B889" t="s">
        <v>2363</v>
      </c>
      <c r="C889" t="s">
        <v>2363</v>
      </c>
      <c r="D889">
        <v>32</v>
      </c>
      <c r="E889">
        <v>3</v>
      </c>
      <c r="F889">
        <v>9</v>
      </c>
      <c r="G889">
        <v>12</v>
      </c>
      <c r="H889" t="s">
        <v>2814</v>
      </c>
      <c r="I88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89" t="s">
        <v>894</v>
      </c>
      <c r="K889" t="str">
        <f>RIGHT(Tabla2[[#This Row],[codigo_producto]],LEN(Tabla2[[#This Row],[codigo_producto]])-FIND("/",Tabla2[[#This Row],[codigo_producto]]))</f>
        <v>1021910XED61</v>
      </c>
      <c r="L889" t="str">
        <f>LEFT(Tabla2[[#This Row],[codigo_producto]],FIND("/",Tabla2[[#This Row],[codigo_producto]])-1)</f>
        <v>5</v>
      </c>
      <c r="M88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890" spans="1:13" x14ac:dyDescent="0.25">
      <c r="A890" t="s">
        <v>3708</v>
      </c>
      <c r="B890" t="s">
        <v>2364</v>
      </c>
      <c r="C890" t="s">
        <v>2364</v>
      </c>
      <c r="D890">
        <v>32</v>
      </c>
      <c r="E890">
        <v>3</v>
      </c>
      <c r="F890">
        <v>9</v>
      </c>
      <c r="G890">
        <v>12</v>
      </c>
      <c r="H890" t="s">
        <v>2814</v>
      </c>
      <c r="I89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90" t="s">
        <v>895</v>
      </c>
      <c r="K890" t="str">
        <f>RIGHT(Tabla2[[#This Row],[codigo_producto]],LEN(Tabla2[[#This Row],[codigo_producto]])-FIND("/",Tabla2[[#This Row],[codigo_producto]]))</f>
        <v>1100100XED95</v>
      </c>
      <c r="L890" t="str">
        <f>LEFT(Tabla2[[#This Row],[codigo_producto]],FIND("/",Tabla2[[#This Row],[codigo_producto]])-1)</f>
        <v>5</v>
      </c>
      <c r="M89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891" spans="1:13" x14ac:dyDescent="0.25">
      <c r="A891" t="s">
        <v>3709</v>
      </c>
      <c r="B891" t="s">
        <v>1714</v>
      </c>
      <c r="C891" t="s">
        <v>1714</v>
      </c>
      <c r="D891">
        <v>32</v>
      </c>
      <c r="E891">
        <v>3</v>
      </c>
      <c r="F891">
        <v>9</v>
      </c>
      <c r="G891">
        <v>12</v>
      </c>
      <c r="H891" t="s">
        <v>2814</v>
      </c>
      <c r="I89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91" t="s">
        <v>896</v>
      </c>
      <c r="K891" t="str">
        <f>RIGHT(Tabla2[[#This Row],[codigo_producto]],LEN(Tabla2[[#This Row],[codigo_producto]])-FIND("/",Tabla2[[#This Row],[codigo_producto]]))</f>
        <v>1109101K08A1</v>
      </c>
      <c r="L891" t="str">
        <f>LEFT(Tabla2[[#This Row],[codigo_producto]],FIND("/",Tabla2[[#This Row],[codigo_producto]])-1)</f>
        <v>5</v>
      </c>
      <c r="M89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892" spans="1:13" x14ac:dyDescent="0.25">
      <c r="A892" t="s">
        <v>3710</v>
      </c>
      <c r="B892" t="s">
        <v>1714</v>
      </c>
      <c r="C892" t="s">
        <v>1714</v>
      </c>
      <c r="D892">
        <v>32</v>
      </c>
      <c r="E892">
        <v>3</v>
      </c>
      <c r="F892">
        <v>9</v>
      </c>
      <c r="G892">
        <v>12</v>
      </c>
      <c r="H892" t="s">
        <v>2814</v>
      </c>
      <c r="I89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92" t="s">
        <v>897</v>
      </c>
      <c r="K892" t="str">
        <f>RIGHT(Tabla2[[#This Row],[codigo_producto]],LEN(Tabla2[[#This Row],[codigo_producto]])-FIND("/",Tabla2[[#This Row],[codigo_producto]]))</f>
        <v>1109110P00A1</v>
      </c>
      <c r="L892" t="str">
        <f>LEFT(Tabla2[[#This Row],[codigo_producto]],FIND("/",Tabla2[[#This Row],[codigo_producto]])-1)</f>
        <v>5</v>
      </c>
      <c r="M89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893" spans="1:13" x14ac:dyDescent="0.25">
      <c r="A893" t="s">
        <v>3711</v>
      </c>
      <c r="B893" t="s">
        <v>2365</v>
      </c>
      <c r="C893" t="s">
        <v>2365</v>
      </c>
      <c r="D893">
        <v>32</v>
      </c>
      <c r="E893">
        <v>3</v>
      </c>
      <c r="F893">
        <v>9</v>
      </c>
      <c r="G893">
        <v>12</v>
      </c>
      <c r="H893" t="s">
        <v>2814</v>
      </c>
      <c r="I89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93" t="s">
        <v>898</v>
      </c>
      <c r="K893" t="str">
        <f>RIGHT(Tabla2[[#This Row],[codigo_producto]],LEN(Tabla2[[#This Row],[codigo_producto]])-FIND("/",Tabla2[[#This Row],[codigo_producto]]))</f>
        <v>1111100XED61</v>
      </c>
      <c r="L893" t="str">
        <f>LEFT(Tabla2[[#This Row],[codigo_producto]],FIND("/",Tabla2[[#This Row],[codigo_producto]])-1)</f>
        <v>5</v>
      </c>
      <c r="M89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894" spans="1:13" x14ac:dyDescent="0.25">
      <c r="A894" t="s">
        <v>3712</v>
      </c>
      <c r="B894" t="s">
        <v>1827</v>
      </c>
      <c r="C894" t="s">
        <v>1827</v>
      </c>
      <c r="D894">
        <v>32</v>
      </c>
      <c r="E894">
        <v>3</v>
      </c>
      <c r="F894">
        <v>9</v>
      </c>
      <c r="G894">
        <v>12</v>
      </c>
      <c r="H894" t="s">
        <v>2814</v>
      </c>
      <c r="I89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94" t="s">
        <v>899</v>
      </c>
      <c r="K894" t="str">
        <f>RIGHT(Tabla2[[#This Row],[codigo_producto]],LEN(Tabla2[[#This Row],[codigo_producto]])-FIND("/",Tabla2[[#This Row],[codigo_producto]]))</f>
        <v>1111402AED09</v>
      </c>
      <c r="L894" t="str">
        <f>LEFT(Tabla2[[#This Row],[codigo_producto]],FIND("/",Tabla2[[#This Row],[codigo_producto]])-1)</f>
        <v>5</v>
      </c>
      <c r="M89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895" spans="1:13" x14ac:dyDescent="0.25">
      <c r="A895" t="s">
        <v>3713</v>
      </c>
      <c r="B895" t="s">
        <v>1827</v>
      </c>
      <c r="C895" t="s">
        <v>1827</v>
      </c>
      <c r="D895">
        <v>32</v>
      </c>
      <c r="E895">
        <v>3</v>
      </c>
      <c r="F895">
        <v>9</v>
      </c>
      <c r="G895">
        <v>12</v>
      </c>
      <c r="H895" t="s">
        <v>2814</v>
      </c>
      <c r="I89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95" t="s">
        <v>900</v>
      </c>
      <c r="K895" t="str">
        <f>RIGHT(Tabla2[[#This Row],[codigo_producto]],LEN(Tabla2[[#This Row],[codigo_producto]])-FIND("/",Tabla2[[#This Row],[codigo_producto]]))</f>
        <v>1111402XED95</v>
      </c>
      <c r="L895" t="str">
        <f>LEFT(Tabla2[[#This Row],[codigo_producto]],FIND("/",Tabla2[[#This Row],[codigo_producto]])-1)</f>
        <v>5</v>
      </c>
      <c r="M89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896" spans="1:13" x14ac:dyDescent="0.25">
      <c r="A896" t="s">
        <v>3714</v>
      </c>
      <c r="B896" t="s">
        <v>1827</v>
      </c>
      <c r="C896" t="s">
        <v>1827</v>
      </c>
      <c r="D896">
        <v>32</v>
      </c>
      <c r="E896">
        <v>3</v>
      </c>
      <c r="F896">
        <v>9</v>
      </c>
      <c r="G896">
        <v>12</v>
      </c>
      <c r="H896" t="s">
        <v>2814</v>
      </c>
      <c r="I89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96" t="s">
        <v>901</v>
      </c>
      <c r="K896" t="str">
        <f>RIGHT(Tabla2[[#This Row],[codigo_producto]],LEN(Tabla2[[#This Row],[codigo_producto]])-FIND("/",Tabla2[[#This Row],[codigo_producto]]))</f>
        <v>1111402XED96</v>
      </c>
      <c r="L896" t="str">
        <f>LEFT(Tabla2[[#This Row],[codigo_producto]],FIND("/",Tabla2[[#This Row],[codigo_producto]])-1)</f>
        <v>5</v>
      </c>
      <c r="M89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897" spans="1:13" x14ac:dyDescent="0.25">
      <c r="A897" t="s">
        <v>3715</v>
      </c>
      <c r="B897" t="s">
        <v>2366</v>
      </c>
      <c r="C897" t="s">
        <v>2366</v>
      </c>
      <c r="D897">
        <v>32</v>
      </c>
      <c r="E897">
        <v>3</v>
      </c>
      <c r="F897">
        <v>9</v>
      </c>
      <c r="G897">
        <v>12</v>
      </c>
      <c r="H897" t="s">
        <v>2814</v>
      </c>
      <c r="I89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97" t="s">
        <v>902</v>
      </c>
      <c r="K897" t="str">
        <f>RIGHT(Tabla2[[#This Row],[codigo_producto]],LEN(Tabla2[[#This Row],[codigo_producto]])-FIND("/",Tabla2[[#This Row],[codigo_producto]]))</f>
        <v>1207110XED95</v>
      </c>
      <c r="L897" t="str">
        <f>LEFT(Tabla2[[#This Row],[codigo_producto]],FIND("/",Tabla2[[#This Row],[codigo_producto]])-1)</f>
        <v>5</v>
      </c>
      <c r="M89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898" spans="1:13" x14ac:dyDescent="0.25">
      <c r="A898" t="s">
        <v>3716</v>
      </c>
      <c r="B898" t="s">
        <v>2367</v>
      </c>
      <c r="C898" t="s">
        <v>2367</v>
      </c>
      <c r="D898">
        <v>31</v>
      </c>
      <c r="E898">
        <v>3</v>
      </c>
      <c r="F898">
        <v>9</v>
      </c>
      <c r="G898">
        <v>12</v>
      </c>
      <c r="H898" t="s">
        <v>2818</v>
      </c>
      <c r="I89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898" t="s">
        <v>903</v>
      </c>
      <c r="K898" t="str">
        <f>RIGHT(Tabla2[[#This Row],[codigo_producto]],LEN(Tabla2[[#This Row],[codigo_producto]])-FIND("/",Tabla2[[#This Row],[codigo_producto]]))</f>
        <v>3611090XED95</v>
      </c>
      <c r="L898" t="str">
        <f>LEFT(Tabla2[[#This Row],[codigo_producto]],FIND("/",Tabla2[[#This Row],[codigo_producto]])-1)</f>
        <v>5</v>
      </c>
      <c r="M89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899" spans="1:13" x14ac:dyDescent="0.25">
      <c r="A899" t="s">
        <v>3717</v>
      </c>
      <c r="B899" t="s">
        <v>1816</v>
      </c>
      <c r="C899" t="s">
        <v>1816</v>
      </c>
      <c r="D899">
        <v>32</v>
      </c>
      <c r="E899">
        <v>3</v>
      </c>
      <c r="F899">
        <v>9</v>
      </c>
      <c r="G899">
        <v>12</v>
      </c>
      <c r="H899" t="s">
        <v>2814</v>
      </c>
      <c r="I89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99" t="s">
        <v>904</v>
      </c>
      <c r="K899" t="str">
        <f>RIGHT(Tabla2[[#This Row],[codigo_producto]],LEN(Tabla2[[#This Row],[codigo_producto]])-FIND("/",Tabla2[[#This Row],[codigo_producto]]))</f>
        <v>3701011XED95</v>
      </c>
      <c r="L899" t="str">
        <f>LEFT(Tabla2[[#This Row],[codigo_producto]],FIND("/",Tabla2[[#This Row],[codigo_producto]])-1)</f>
        <v>5</v>
      </c>
      <c r="M89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900" spans="1:13" x14ac:dyDescent="0.25">
      <c r="A900" t="s">
        <v>3718</v>
      </c>
      <c r="B900" t="s">
        <v>1839</v>
      </c>
      <c r="C900" t="s">
        <v>1839</v>
      </c>
      <c r="D900">
        <v>32</v>
      </c>
      <c r="E900">
        <v>3</v>
      </c>
      <c r="F900">
        <v>9</v>
      </c>
      <c r="G900">
        <v>12</v>
      </c>
      <c r="H900" t="s">
        <v>2814</v>
      </c>
      <c r="I90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00" t="s">
        <v>905</v>
      </c>
      <c r="K900" t="str">
        <f>RIGHT(Tabla2[[#This Row],[codigo_producto]],LEN(Tabla2[[#This Row],[codigo_producto]])-FIND("/",Tabla2[[#This Row],[codigo_producto]]))</f>
        <v>3707100WEC05</v>
      </c>
      <c r="L900" t="str">
        <f>LEFT(Tabla2[[#This Row],[codigo_producto]],FIND("/",Tabla2[[#This Row],[codigo_producto]])-1)</f>
        <v>5</v>
      </c>
      <c r="M90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901" spans="1:13" x14ac:dyDescent="0.25">
      <c r="A901" t="s">
        <v>3719</v>
      </c>
      <c r="B901" t="s">
        <v>1839</v>
      </c>
      <c r="C901" t="s">
        <v>1839</v>
      </c>
      <c r="D901">
        <v>32</v>
      </c>
      <c r="E901">
        <v>3</v>
      </c>
      <c r="F901">
        <v>9</v>
      </c>
      <c r="G901">
        <v>12</v>
      </c>
      <c r="H901" t="s">
        <v>2814</v>
      </c>
      <c r="I90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01" t="s">
        <v>906</v>
      </c>
      <c r="K901" t="str">
        <f>RIGHT(Tabla2[[#This Row],[codigo_producto]],LEN(Tabla2[[#This Row],[codigo_producto]])-FIND("/",Tabla2[[#This Row],[codigo_producto]]))</f>
        <v>3707100XEN01</v>
      </c>
      <c r="L901" t="str">
        <f>LEFT(Tabla2[[#This Row],[codigo_producto]],FIND("/",Tabla2[[#This Row],[codigo_producto]])-1)</f>
        <v>5</v>
      </c>
      <c r="M90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902" spans="1:13" x14ac:dyDescent="0.25">
      <c r="A902" t="s">
        <v>3720</v>
      </c>
      <c r="B902" t="s">
        <v>2368</v>
      </c>
      <c r="C902" t="s">
        <v>2368</v>
      </c>
      <c r="D902">
        <v>31</v>
      </c>
      <c r="E902">
        <v>3</v>
      </c>
      <c r="F902">
        <v>9</v>
      </c>
      <c r="G902">
        <v>12</v>
      </c>
      <c r="H902" t="s">
        <v>2818</v>
      </c>
      <c r="I90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902" t="s">
        <v>907</v>
      </c>
      <c r="K902" t="str">
        <f>RIGHT(Tabla2[[#This Row],[codigo_producto]],LEN(Tabla2[[#This Row],[codigo_producto]])-FIND("/",Tabla2[[#This Row],[codigo_producto]]))</f>
        <v>3770100AED01</v>
      </c>
      <c r="L902" t="str">
        <f>LEFT(Tabla2[[#This Row],[codigo_producto]],FIND("/",Tabla2[[#This Row],[codigo_producto]])-1)</f>
        <v>5</v>
      </c>
      <c r="M90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903" spans="1:13" x14ac:dyDescent="0.25">
      <c r="A903" t="s">
        <v>3721</v>
      </c>
      <c r="B903" t="s">
        <v>2369</v>
      </c>
      <c r="C903" t="s">
        <v>2369</v>
      </c>
      <c r="D903">
        <v>31</v>
      </c>
      <c r="E903">
        <v>3</v>
      </c>
      <c r="F903">
        <v>9</v>
      </c>
      <c r="G903">
        <v>12</v>
      </c>
      <c r="H903" t="s">
        <v>2818</v>
      </c>
      <c r="I90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903" t="s">
        <v>908</v>
      </c>
      <c r="K903" t="str">
        <f>RIGHT(Tabla2[[#This Row],[codigo_producto]],LEN(Tabla2[[#This Row],[codigo_producto]])-FIND("/",Tabla2[[#This Row],[codigo_producto]]))</f>
        <v>3770100AED61</v>
      </c>
      <c r="L903" t="str">
        <f>LEFT(Tabla2[[#This Row],[codigo_producto]],FIND("/",Tabla2[[#This Row],[codigo_producto]])-1)</f>
        <v>5</v>
      </c>
      <c r="M90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904" spans="1:13" x14ac:dyDescent="0.25">
      <c r="A904" t="s">
        <v>3722</v>
      </c>
      <c r="B904" t="s">
        <v>1892</v>
      </c>
      <c r="C904" t="s">
        <v>1892</v>
      </c>
      <c r="D904">
        <v>32</v>
      </c>
      <c r="E904">
        <v>3</v>
      </c>
      <c r="F904">
        <v>9</v>
      </c>
      <c r="G904">
        <v>12</v>
      </c>
      <c r="H904" t="s">
        <v>2814</v>
      </c>
      <c r="I90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04" t="s">
        <v>909</v>
      </c>
      <c r="K904" t="str">
        <f>RIGHT(Tabla2[[#This Row],[codigo_producto]],LEN(Tabla2[[#This Row],[codigo_producto]])-FIND("/",Tabla2[[#This Row],[codigo_producto]]))</f>
        <v>6002LLUC/2A8</v>
      </c>
      <c r="L904" t="str">
        <f>LEFT(Tabla2[[#This Row],[codigo_producto]],FIND("/",Tabla2[[#This Row],[codigo_producto]])-1)</f>
        <v>5</v>
      </c>
      <c r="M90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905" spans="1:13" x14ac:dyDescent="0.25">
      <c r="A905" t="s">
        <v>3723</v>
      </c>
      <c r="B905" t="s">
        <v>1803</v>
      </c>
      <c r="C905" t="s">
        <v>1803</v>
      </c>
      <c r="D905">
        <v>32</v>
      </c>
      <c r="E905">
        <v>3</v>
      </c>
      <c r="F905">
        <v>9</v>
      </c>
      <c r="G905">
        <v>12</v>
      </c>
      <c r="H905" t="s">
        <v>2814</v>
      </c>
      <c r="I90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05" t="s">
        <v>910</v>
      </c>
      <c r="K905" t="str">
        <f>RIGHT(Tabla2[[#This Row],[codigo_producto]],LEN(Tabla2[[#This Row],[codigo_producto]])-FIND("/",Tabla2[[#This Row],[codigo_producto]]))</f>
        <v>8107200P00A1</v>
      </c>
      <c r="L905" t="str">
        <f>LEFT(Tabla2[[#This Row],[codigo_producto]],FIND("/",Tabla2[[#This Row],[codigo_producto]])-1)</f>
        <v>5</v>
      </c>
      <c r="M90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906" spans="1:13" x14ac:dyDescent="0.25">
      <c r="A906" t="s">
        <v>3724</v>
      </c>
      <c r="B906" t="s">
        <v>2370</v>
      </c>
      <c r="C906" t="s">
        <v>2370</v>
      </c>
      <c r="D906">
        <v>32</v>
      </c>
      <c r="E906">
        <v>4</v>
      </c>
      <c r="F906">
        <v>9</v>
      </c>
      <c r="G906">
        <v>12</v>
      </c>
      <c r="H906" t="s">
        <v>2814</v>
      </c>
      <c r="I90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06" t="s">
        <v>911</v>
      </c>
      <c r="K906" t="str">
        <f>RIGHT(Tabla2[[#This Row],[codigo_producto]],LEN(Tabla2[[#This Row],[codigo_producto]])-FIND("/",Tabla2[[#This Row],[codigo_producto]]))</f>
        <v>1602111KZ16</v>
      </c>
      <c r="L906" t="str">
        <f>LEFT(Tabla2[[#This Row],[codigo_producto]],FIND("/",Tabla2[[#This Row],[codigo_producto]])-1)</f>
        <v>58</v>
      </c>
      <c r="M90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4</v>
      </c>
    </row>
    <row r="907" spans="1:13" x14ac:dyDescent="0.25">
      <c r="A907" t="s">
        <v>3725</v>
      </c>
      <c r="B907" t="s">
        <v>2371</v>
      </c>
      <c r="C907" t="s">
        <v>2371</v>
      </c>
      <c r="D907">
        <v>32</v>
      </c>
      <c r="E907">
        <v>1</v>
      </c>
      <c r="F907">
        <v>9</v>
      </c>
      <c r="G907">
        <v>12</v>
      </c>
      <c r="H907" t="s">
        <v>2814</v>
      </c>
      <c r="I90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07" t="s">
        <v>912</v>
      </c>
      <c r="K907" t="str">
        <f>RIGHT(Tabla2[[#This Row],[codigo_producto]],LEN(Tabla2[[#This Row],[codigo_producto]])-FIND("/",Tabla2[[#This Row],[codigo_producto]]))</f>
        <v>236616030OTS</v>
      </c>
      <c r="L907" t="str">
        <f>LEFT(Tabla2[[#This Row],[codigo_producto]],FIND("/",Tabla2[[#This Row],[codigo_producto]])-1)</f>
        <v>6</v>
      </c>
      <c r="M90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908" spans="1:13" x14ac:dyDescent="0.25">
      <c r="A908" t="s">
        <v>3726</v>
      </c>
      <c r="B908" t="s">
        <v>2372</v>
      </c>
      <c r="C908" t="s">
        <v>2372</v>
      </c>
      <c r="D908">
        <v>32</v>
      </c>
      <c r="E908">
        <v>1</v>
      </c>
      <c r="F908">
        <v>9</v>
      </c>
      <c r="G908">
        <v>12</v>
      </c>
      <c r="H908" t="s">
        <v>2814</v>
      </c>
      <c r="I90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08" t="s">
        <v>913</v>
      </c>
      <c r="K908" t="str">
        <f>RIGHT(Tabla2[[#This Row],[codigo_producto]],LEN(Tabla2[[#This Row],[codigo_producto]])-FIND("/",Tabla2[[#This Row],[codigo_producto]]))</f>
        <v>CM1015981200</v>
      </c>
      <c r="L908" t="str">
        <f>LEFT(Tabla2[[#This Row],[codigo_producto]],FIND("/",Tabla2[[#This Row],[codigo_producto]])-1)</f>
        <v>6</v>
      </c>
      <c r="M90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909" spans="1:13" x14ac:dyDescent="0.25">
      <c r="A909" t="s">
        <v>3727</v>
      </c>
      <c r="B909" t="s">
        <v>2373</v>
      </c>
      <c r="C909" t="s">
        <v>2373</v>
      </c>
      <c r="D909">
        <v>32</v>
      </c>
      <c r="E909">
        <v>1</v>
      </c>
      <c r="F909">
        <v>9</v>
      </c>
      <c r="G909">
        <v>12</v>
      </c>
      <c r="H909" t="s">
        <v>2814</v>
      </c>
      <c r="I90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09" t="s">
        <v>914</v>
      </c>
      <c r="K909" t="str">
        <f>RIGHT(Tabla2[[#This Row],[codigo_producto]],LEN(Tabla2[[#This Row],[codigo_producto]])-FIND("/",Tabla2[[#This Row],[codigo_producto]]))</f>
        <v>DAT150080100</v>
      </c>
      <c r="L909" t="str">
        <f>LEFT(Tabla2[[#This Row],[codigo_producto]],FIND("/",Tabla2[[#This Row],[codigo_producto]])-1)</f>
        <v>6</v>
      </c>
      <c r="M90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910" spans="1:13" x14ac:dyDescent="0.25">
      <c r="A910" t="s">
        <v>3728</v>
      </c>
      <c r="B910" t="s">
        <v>2374</v>
      </c>
      <c r="C910" t="s">
        <v>2374</v>
      </c>
      <c r="D910">
        <v>32</v>
      </c>
      <c r="E910">
        <v>1</v>
      </c>
      <c r="F910">
        <v>9</v>
      </c>
      <c r="G910">
        <v>12</v>
      </c>
      <c r="H910" t="s">
        <v>2814</v>
      </c>
      <c r="I91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10" t="s">
        <v>915</v>
      </c>
      <c r="K910" t="str">
        <f>RIGHT(Tabla2[[#This Row],[codigo_producto]],LEN(Tabla2[[#This Row],[codigo_producto]])-FIND("/",Tabla2[[#This Row],[codigo_producto]]))</f>
        <v>DF727A019020</v>
      </c>
      <c r="L910" t="str">
        <f>LEFT(Tabla2[[#This Row],[codigo_producto]],FIND("/",Tabla2[[#This Row],[codigo_producto]])-1)</f>
        <v>6</v>
      </c>
      <c r="M91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911" spans="1:13" x14ac:dyDescent="0.25">
      <c r="A911" t="s">
        <v>3729</v>
      </c>
      <c r="B911" t="s">
        <v>2375</v>
      </c>
      <c r="C911" t="s">
        <v>2375</v>
      </c>
      <c r="D911">
        <v>32</v>
      </c>
      <c r="E911">
        <v>1</v>
      </c>
      <c r="F911">
        <v>9</v>
      </c>
      <c r="G911">
        <v>12</v>
      </c>
      <c r="H911" t="s">
        <v>2814</v>
      </c>
      <c r="I91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11" t="s">
        <v>916</v>
      </c>
      <c r="K911" t="str">
        <f>RIGHT(Tabla2[[#This Row],[codigo_producto]],LEN(Tabla2[[#This Row],[codigo_producto]])-FIND("/",Tabla2[[#This Row],[codigo_producto]]))</f>
        <v>H160170201AA</v>
      </c>
      <c r="L911" t="str">
        <f>LEFT(Tabla2[[#This Row],[codigo_producto]],FIND("/",Tabla2[[#This Row],[codigo_producto]])-1)</f>
        <v>6</v>
      </c>
      <c r="M91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912" spans="1:13" x14ac:dyDescent="0.25">
      <c r="A912" t="s">
        <v>3730</v>
      </c>
      <c r="B912" t="s">
        <v>2376</v>
      </c>
      <c r="C912" t="s">
        <v>2376</v>
      </c>
      <c r="D912">
        <v>32</v>
      </c>
      <c r="E912">
        <v>1</v>
      </c>
      <c r="F912">
        <v>9</v>
      </c>
      <c r="G912">
        <v>12</v>
      </c>
      <c r="H912" t="s">
        <v>2814</v>
      </c>
      <c r="I91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12" t="s">
        <v>917</v>
      </c>
      <c r="K912" t="str">
        <f>RIGHT(Tabla2[[#This Row],[codigo_producto]],LEN(Tabla2[[#This Row],[codigo_producto]])-FIND("/",Tabla2[[#This Row],[codigo_producto]]))</f>
        <v>KITSEGGNEWSV</v>
      </c>
      <c r="L912" t="str">
        <f>LEFT(Tabla2[[#This Row],[codigo_producto]],FIND("/",Tabla2[[#This Row],[codigo_producto]])-1)</f>
        <v>6</v>
      </c>
      <c r="M91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913" spans="1:13" x14ac:dyDescent="0.25">
      <c r="A913" t="s">
        <v>3731</v>
      </c>
      <c r="B913" t="s">
        <v>2377</v>
      </c>
      <c r="C913" t="s">
        <v>2377</v>
      </c>
      <c r="D913">
        <v>22</v>
      </c>
      <c r="E913">
        <v>1</v>
      </c>
      <c r="F913">
        <v>9</v>
      </c>
      <c r="G913">
        <v>12</v>
      </c>
      <c r="H913" t="s">
        <v>2815</v>
      </c>
      <c r="I91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913" t="s">
        <v>918</v>
      </c>
      <c r="K913" t="str">
        <f>RIGHT(Tabla2[[#This Row],[codigo_producto]],LEN(Tabla2[[#This Row],[codigo_producto]])-FIND("/",Tabla2[[#This Row],[codigo_producto]]))</f>
        <v>KITSEGHONORS</v>
      </c>
      <c r="L913" t="str">
        <f>LEFT(Tabla2[[#This Row],[codigo_producto]],FIND("/",Tabla2[[#This Row],[codigo_producto]])-1)</f>
        <v>6</v>
      </c>
      <c r="M91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914" spans="1:13" x14ac:dyDescent="0.25">
      <c r="A914" t="s">
        <v>3732</v>
      </c>
      <c r="B914" t="s">
        <v>2378</v>
      </c>
      <c r="C914" t="s">
        <v>2378</v>
      </c>
      <c r="D914">
        <v>32</v>
      </c>
      <c r="E914">
        <v>1</v>
      </c>
      <c r="F914">
        <v>9</v>
      </c>
      <c r="G914">
        <v>12</v>
      </c>
      <c r="H914" t="s">
        <v>2814</v>
      </c>
      <c r="I91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14" t="s">
        <v>919</v>
      </c>
      <c r="K914" t="str">
        <f>RIGHT(Tabla2[[#This Row],[codigo_producto]],LEN(Tabla2[[#This Row],[codigo_producto]])-FIND("/",Tabla2[[#This Row],[codigo_producto]]))</f>
        <v>KITSEGNWCS15</v>
      </c>
      <c r="L914" t="str">
        <f>LEFT(Tabla2[[#This Row],[codigo_producto]],FIND("/",Tabla2[[#This Row],[codigo_producto]])-1)</f>
        <v>6</v>
      </c>
      <c r="M91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915" spans="1:13" x14ac:dyDescent="0.25">
      <c r="A915" t="s">
        <v>3733</v>
      </c>
      <c r="B915" t="s">
        <v>1839</v>
      </c>
      <c r="C915" t="s">
        <v>1839</v>
      </c>
      <c r="D915">
        <v>32</v>
      </c>
      <c r="E915">
        <v>1</v>
      </c>
      <c r="F915">
        <v>9</v>
      </c>
      <c r="G915">
        <v>12</v>
      </c>
      <c r="H915" t="s">
        <v>2814</v>
      </c>
      <c r="I91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15" t="s">
        <v>920</v>
      </c>
      <c r="K915" t="str">
        <f>RIGHT(Tabla2[[#This Row],[codigo_producto]],LEN(Tabla2[[#This Row],[codigo_producto]])-FIND("/",Tabla2[[#This Row],[codigo_producto]]))</f>
        <v>NE14T0030200</v>
      </c>
      <c r="L915" t="str">
        <f>LEFT(Tabla2[[#This Row],[codigo_producto]],FIND("/",Tabla2[[#This Row],[codigo_producto]])-1)</f>
        <v>6</v>
      </c>
      <c r="M91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916" spans="1:13" x14ac:dyDescent="0.25">
      <c r="A916" t="s">
        <v>3734</v>
      </c>
      <c r="B916" t="s">
        <v>2379</v>
      </c>
      <c r="C916" t="s">
        <v>2379</v>
      </c>
      <c r="D916">
        <v>32</v>
      </c>
      <c r="E916">
        <v>1</v>
      </c>
      <c r="F916">
        <v>9</v>
      </c>
      <c r="G916">
        <v>12</v>
      </c>
      <c r="H916" t="s">
        <v>2814</v>
      </c>
      <c r="I91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16" t="s">
        <v>921</v>
      </c>
      <c r="K916" t="str">
        <f>RIGHT(Tabla2[[#This Row],[codigo_producto]],LEN(Tabla2[[#This Row],[codigo_producto]])-FIND("/",Tabla2[[#This Row],[codigo_producto]]))</f>
        <v>NE14T0040010</v>
      </c>
      <c r="L916" t="str">
        <f>LEFT(Tabla2[[#This Row],[codigo_producto]],FIND("/",Tabla2[[#This Row],[codigo_producto]])-1)</f>
        <v>6</v>
      </c>
      <c r="M91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917" spans="1:13" x14ac:dyDescent="0.25">
      <c r="A917" t="s">
        <v>3735</v>
      </c>
      <c r="B917" t="s">
        <v>1793</v>
      </c>
      <c r="C917" t="s">
        <v>1793</v>
      </c>
      <c r="D917">
        <v>32</v>
      </c>
      <c r="E917">
        <v>1</v>
      </c>
      <c r="F917">
        <v>9</v>
      </c>
      <c r="G917">
        <v>12</v>
      </c>
      <c r="H917" t="s">
        <v>2814</v>
      </c>
      <c r="I91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17" t="s">
        <v>922</v>
      </c>
      <c r="K917" t="str">
        <f>RIGHT(Tabla2[[#This Row],[codigo_producto]],LEN(Tabla2[[#This Row],[codigo_producto]])-FIND("/",Tabla2[[#This Row],[codigo_producto]]))</f>
        <v>PC2010041701</v>
      </c>
      <c r="L917" t="str">
        <f>LEFT(Tabla2[[#This Row],[codigo_producto]],FIND("/",Tabla2[[#This Row],[codigo_producto]])-1)</f>
        <v>6</v>
      </c>
      <c r="M91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918" spans="1:13" x14ac:dyDescent="0.25">
      <c r="A918" t="s">
        <v>3736</v>
      </c>
      <c r="B918" t="s">
        <v>2380</v>
      </c>
      <c r="C918" t="s">
        <v>2380</v>
      </c>
      <c r="D918">
        <v>32</v>
      </c>
      <c r="E918">
        <v>1</v>
      </c>
      <c r="F918">
        <v>9</v>
      </c>
      <c r="G918">
        <v>12</v>
      </c>
      <c r="H918" t="s">
        <v>2814</v>
      </c>
      <c r="I91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18" t="s">
        <v>923</v>
      </c>
      <c r="K918" t="str">
        <f>RIGHT(Tabla2[[#This Row],[codigo_producto]],LEN(Tabla2[[#This Row],[codigo_producto]])-FIND("/",Tabla2[[#This Row],[codigo_producto]]))</f>
        <v>PC2010061101</v>
      </c>
      <c r="L918" t="str">
        <f>LEFT(Tabla2[[#This Row],[codigo_producto]],FIND("/",Tabla2[[#This Row],[codigo_producto]])-1)</f>
        <v>6</v>
      </c>
      <c r="M91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919" spans="1:13" x14ac:dyDescent="0.25">
      <c r="A919" t="s">
        <v>3737</v>
      </c>
      <c r="B919" t="s">
        <v>2381</v>
      </c>
      <c r="C919" t="s">
        <v>2381</v>
      </c>
      <c r="D919">
        <v>32</v>
      </c>
      <c r="E919">
        <v>1</v>
      </c>
      <c r="F919">
        <v>9</v>
      </c>
      <c r="G919">
        <v>12</v>
      </c>
      <c r="H919" t="s">
        <v>2814</v>
      </c>
      <c r="I91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19" t="s">
        <v>924</v>
      </c>
      <c r="K919" t="str">
        <f>RIGHT(Tabla2[[#This Row],[codigo_producto]],LEN(Tabla2[[#This Row],[codigo_producto]])-FIND("/",Tabla2[[#This Row],[codigo_producto]]))</f>
        <v>PC2010061502</v>
      </c>
      <c r="L919" t="str">
        <f>LEFT(Tabla2[[#This Row],[codigo_producto]],FIND("/",Tabla2[[#This Row],[codigo_producto]])-1)</f>
        <v>6</v>
      </c>
      <c r="M91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920" spans="1:13" x14ac:dyDescent="0.25">
      <c r="A920" t="s">
        <v>3738</v>
      </c>
      <c r="B920" t="s">
        <v>1715</v>
      </c>
      <c r="C920" t="s">
        <v>1715</v>
      </c>
      <c r="D920">
        <v>32</v>
      </c>
      <c r="E920">
        <v>1</v>
      </c>
      <c r="F920">
        <v>9</v>
      </c>
      <c r="G920">
        <v>12</v>
      </c>
      <c r="H920" t="s">
        <v>2814</v>
      </c>
      <c r="I92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20" t="s">
        <v>925</v>
      </c>
      <c r="K920" t="str">
        <f>RIGHT(Tabla2[[#This Row],[codigo_producto]],LEN(Tabla2[[#This Row],[codigo_producto]])-FIND("/",Tabla2[[#This Row],[codigo_producto]]))</f>
        <v>PC2010120501</v>
      </c>
      <c r="L920" t="str">
        <f>LEFT(Tabla2[[#This Row],[codigo_producto]],FIND("/",Tabla2[[#This Row],[codigo_producto]])-1)</f>
        <v>6</v>
      </c>
      <c r="M92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921" spans="1:13" x14ac:dyDescent="0.25">
      <c r="A921" t="s">
        <v>3739</v>
      </c>
      <c r="B921" t="s">
        <v>2369</v>
      </c>
      <c r="C921" t="s">
        <v>2369</v>
      </c>
      <c r="D921">
        <v>32</v>
      </c>
      <c r="E921">
        <v>1</v>
      </c>
      <c r="F921">
        <v>9</v>
      </c>
      <c r="G921">
        <v>12</v>
      </c>
      <c r="H921" t="s">
        <v>2814</v>
      </c>
      <c r="I92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21" t="s">
        <v>926</v>
      </c>
      <c r="K921" t="str">
        <f>RIGHT(Tabla2[[#This Row],[codigo_producto]],LEN(Tabla2[[#This Row],[codigo_producto]])-FIND("/",Tabla2[[#This Row],[codigo_producto]]))</f>
        <v>PC2010133701</v>
      </c>
      <c r="L921" t="str">
        <f>LEFT(Tabla2[[#This Row],[codigo_producto]],FIND("/",Tabla2[[#This Row],[codigo_producto]])-1)</f>
        <v>6</v>
      </c>
      <c r="M92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922" spans="1:13" x14ac:dyDescent="0.25">
      <c r="A922" t="s">
        <v>3740</v>
      </c>
      <c r="B922" t="s">
        <v>1712</v>
      </c>
      <c r="C922" t="s">
        <v>1712</v>
      </c>
      <c r="D922">
        <v>32</v>
      </c>
      <c r="E922">
        <v>1</v>
      </c>
      <c r="F922">
        <v>9</v>
      </c>
      <c r="G922">
        <v>12</v>
      </c>
      <c r="H922" t="s">
        <v>2814</v>
      </c>
      <c r="I92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22" t="s">
        <v>927</v>
      </c>
      <c r="K922" t="str">
        <f>RIGHT(Tabla2[[#This Row],[codigo_producto]],LEN(Tabla2[[#This Row],[codigo_producto]])-FIND("/",Tabla2[[#This Row],[codigo_producto]]))</f>
        <v>PC2010134501</v>
      </c>
      <c r="L922" t="str">
        <f>LEFT(Tabla2[[#This Row],[codigo_producto]],FIND("/",Tabla2[[#This Row],[codigo_producto]])-1)</f>
        <v>6</v>
      </c>
      <c r="M92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923" spans="1:13" x14ac:dyDescent="0.25">
      <c r="A923" t="s">
        <v>3741</v>
      </c>
      <c r="B923" t="s">
        <v>1803</v>
      </c>
      <c r="C923" t="s">
        <v>1803</v>
      </c>
      <c r="D923">
        <v>32</v>
      </c>
      <c r="E923">
        <v>1</v>
      </c>
      <c r="F923">
        <v>9</v>
      </c>
      <c r="G923">
        <v>12</v>
      </c>
      <c r="H923" t="s">
        <v>2814</v>
      </c>
      <c r="I92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23" t="s">
        <v>928</v>
      </c>
      <c r="K923" t="str">
        <f>RIGHT(Tabla2[[#This Row],[codigo_producto]],LEN(Tabla2[[#This Row],[codigo_producto]])-FIND("/",Tabla2[[#This Row],[codigo_producto]]))</f>
        <v>PC2010151201</v>
      </c>
      <c r="L923" t="str">
        <f>LEFT(Tabla2[[#This Row],[codigo_producto]],FIND("/",Tabla2[[#This Row],[codigo_producto]])-1)</f>
        <v>6</v>
      </c>
      <c r="M92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924" spans="1:13" x14ac:dyDescent="0.25">
      <c r="A924" t="s">
        <v>3742</v>
      </c>
      <c r="B924" t="s">
        <v>1827</v>
      </c>
      <c r="C924" t="s">
        <v>1827</v>
      </c>
      <c r="D924">
        <v>32</v>
      </c>
      <c r="E924">
        <v>1</v>
      </c>
      <c r="F924">
        <v>9</v>
      </c>
      <c r="G924">
        <v>12</v>
      </c>
      <c r="H924" t="s">
        <v>2814</v>
      </c>
      <c r="I92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24" t="s">
        <v>929</v>
      </c>
      <c r="K924" t="str">
        <f>RIGHT(Tabla2[[#This Row],[codigo_producto]],LEN(Tabla2[[#This Row],[codigo_producto]])-FIND("/",Tabla2[[#This Row],[codigo_producto]]))</f>
        <v>PC2010242602</v>
      </c>
      <c r="L924" t="str">
        <f>LEFT(Tabla2[[#This Row],[codigo_producto]],FIND("/",Tabla2[[#This Row],[codigo_producto]])-1)</f>
        <v>6</v>
      </c>
      <c r="M92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925" spans="1:13" x14ac:dyDescent="0.25">
      <c r="A925" t="s">
        <v>3743</v>
      </c>
      <c r="B925" t="s">
        <v>2289</v>
      </c>
      <c r="C925" t="s">
        <v>2289</v>
      </c>
      <c r="D925">
        <v>32</v>
      </c>
      <c r="E925">
        <v>1</v>
      </c>
      <c r="F925">
        <v>9</v>
      </c>
      <c r="G925">
        <v>12</v>
      </c>
      <c r="H925" t="s">
        <v>2814</v>
      </c>
      <c r="I92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25" t="s">
        <v>930</v>
      </c>
      <c r="K925" t="str">
        <f>RIGHT(Tabla2[[#This Row],[codigo_producto]],LEN(Tabla2[[#This Row],[codigo_producto]])-FIND("/",Tabla2[[#This Row],[codigo_producto]]))</f>
        <v>PC2010262102</v>
      </c>
      <c r="L925" t="str">
        <f>LEFT(Tabla2[[#This Row],[codigo_producto]],FIND("/",Tabla2[[#This Row],[codigo_producto]])-1)</f>
        <v>6</v>
      </c>
      <c r="M92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926" spans="1:13" x14ac:dyDescent="0.25">
      <c r="A926" t="s">
        <v>3744</v>
      </c>
      <c r="B926" t="s">
        <v>1721</v>
      </c>
      <c r="C926" t="s">
        <v>1721</v>
      </c>
      <c r="D926">
        <v>32</v>
      </c>
      <c r="E926">
        <v>1</v>
      </c>
      <c r="F926">
        <v>9</v>
      </c>
      <c r="G926">
        <v>12</v>
      </c>
      <c r="H926" t="s">
        <v>2814</v>
      </c>
      <c r="I92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26" t="s">
        <v>931</v>
      </c>
      <c r="K926" t="str">
        <f>RIGHT(Tabla2[[#This Row],[codigo_producto]],LEN(Tabla2[[#This Row],[codigo_producto]])-FIND("/",Tabla2[[#This Row],[codigo_producto]]))</f>
        <v>PC2010500901</v>
      </c>
      <c r="L926" t="str">
        <f>LEFT(Tabla2[[#This Row],[codigo_producto]],FIND("/",Tabla2[[#This Row],[codigo_producto]])-1)</f>
        <v>6</v>
      </c>
      <c r="M92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927" spans="1:13" x14ac:dyDescent="0.25">
      <c r="A927" t="s">
        <v>3745</v>
      </c>
      <c r="B927" t="s">
        <v>2262</v>
      </c>
      <c r="C927" t="s">
        <v>2262</v>
      </c>
      <c r="D927">
        <v>32</v>
      </c>
      <c r="E927">
        <v>1</v>
      </c>
      <c r="F927">
        <v>9</v>
      </c>
      <c r="G927">
        <v>12</v>
      </c>
      <c r="H927" t="s">
        <v>2814</v>
      </c>
      <c r="I92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27" t="s">
        <v>932</v>
      </c>
      <c r="K927" t="str">
        <f>RIGHT(Tabla2[[#This Row],[codigo_producto]],LEN(Tabla2[[#This Row],[codigo_producto]])-FIND("/",Tabla2[[#This Row],[codigo_producto]]))</f>
        <v>PC2010580401</v>
      </c>
      <c r="L927" t="str">
        <f>LEFT(Tabla2[[#This Row],[codigo_producto]],FIND("/",Tabla2[[#This Row],[codigo_producto]])-1)</f>
        <v>6</v>
      </c>
      <c r="M92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928" spans="1:13" x14ac:dyDescent="0.25">
      <c r="A928" t="s">
        <v>3746</v>
      </c>
      <c r="B928" t="s">
        <v>2263</v>
      </c>
      <c r="C928" t="s">
        <v>2263</v>
      </c>
      <c r="D928">
        <v>32</v>
      </c>
      <c r="E928">
        <v>1</v>
      </c>
      <c r="F928">
        <v>9</v>
      </c>
      <c r="G928">
        <v>12</v>
      </c>
      <c r="H928" t="s">
        <v>2814</v>
      </c>
      <c r="I92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28" t="s">
        <v>933</v>
      </c>
      <c r="K928" t="str">
        <f>RIGHT(Tabla2[[#This Row],[codigo_producto]],LEN(Tabla2[[#This Row],[codigo_producto]])-FIND("/",Tabla2[[#This Row],[codigo_producto]]))</f>
        <v>PC2010580701</v>
      </c>
      <c r="L928" t="str">
        <f>LEFT(Tabla2[[#This Row],[codigo_producto]],FIND("/",Tabla2[[#This Row],[codigo_producto]])-1)</f>
        <v>6</v>
      </c>
      <c r="M92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929" spans="1:13" x14ac:dyDescent="0.25">
      <c r="A929" t="s">
        <v>3747</v>
      </c>
      <c r="B929" t="s">
        <v>1970</v>
      </c>
      <c r="C929" t="s">
        <v>1970</v>
      </c>
      <c r="D929">
        <v>32</v>
      </c>
      <c r="E929">
        <v>1</v>
      </c>
      <c r="F929">
        <v>9</v>
      </c>
      <c r="G929">
        <v>12</v>
      </c>
      <c r="H929" t="s">
        <v>2814</v>
      </c>
      <c r="I92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29" t="s">
        <v>934</v>
      </c>
      <c r="K929" t="str">
        <f>RIGHT(Tabla2[[#This Row],[codigo_producto]],LEN(Tabla2[[#This Row],[codigo_producto]])-FIND("/",Tabla2[[#This Row],[codigo_producto]]))</f>
        <v>PC2010580801</v>
      </c>
      <c r="L929" t="str">
        <f>LEFT(Tabla2[[#This Row],[codigo_producto]],FIND("/",Tabla2[[#This Row],[codigo_producto]])-1)</f>
        <v>6</v>
      </c>
      <c r="M92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930" spans="1:13" x14ac:dyDescent="0.25">
      <c r="A930" t="s">
        <v>3748</v>
      </c>
      <c r="B930" t="s">
        <v>1829</v>
      </c>
      <c r="C930" t="s">
        <v>1829</v>
      </c>
      <c r="D930">
        <v>32</v>
      </c>
      <c r="E930">
        <v>1</v>
      </c>
      <c r="F930">
        <v>9</v>
      </c>
      <c r="G930">
        <v>12</v>
      </c>
      <c r="H930" t="s">
        <v>2814</v>
      </c>
      <c r="I93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30" t="s">
        <v>935</v>
      </c>
      <c r="K930" t="str">
        <f>RIGHT(Tabla2[[#This Row],[codigo_producto]],LEN(Tabla2[[#This Row],[codigo_producto]])-FIND("/",Tabla2[[#This Row],[codigo_producto]]))</f>
        <v>PC2010981202</v>
      </c>
      <c r="L930" t="str">
        <f>LEFT(Tabla2[[#This Row],[codigo_producto]],FIND("/",Tabla2[[#This Row],[codigo_producto]])-1)</f>
        <v>6</v>
      </c>
      <c r="M93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931" spans="1:13" x14ac:dyDescent="0.25">
      <c r="A931" t="s">
        <v>3749</v>
      </c>
      <c r="B931" t="s">
        <v>2382</v>
      </c>
      <c r="C931" t="s">
        <v>2382</v>
      </c>
      <c r="D931">
        <v>32</v>
      </c>
      <c r="E931">
        <v>1</v>
      </c>
      <c r="F931">
        <v>9</v>
      </c>
      <c r="G931">
        <v>12</v>
      </c>
      <c r="H931" t="s">
        <v>2814</v>
      </c>
      <c r="I93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31" t="s">
        <v>936</v>
      </c>
      <c r="K931" t="str">
        <f>RIGHT(Tabla2[[#This Row],[codigo_producto]],LEN(Tabla2[[#This Row],[codigo_producto]])-FIND("/",Tabla2[[#This Row],[codigo_producto]]))</f>
        <v>PC2011040901</v>
      </c>
      <c r="L931" t="str">
        <f>LEFT(Tabla2[[#This Row],[codigo_producto]],FIND("/",Tabla2[[#This Row],[codigo_producto]])-1)</f>
        <v>6</v>
      </c>
      <c r="M93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932" spans="1:13" x14ac:dyDescent="0.25">
      <c r="A932" t="s">
        <v>3750</v>
      </c>
      <c r="B932" t="s">
        <v>2383</v>
      </c>
      <c r="C932" t="s">
        <v>2383</v>
      </c>
      <c r="D932">
        <v>32</v>
      </c>
      <c r="E932">
        <v>1</v>
      </c>
      <c r="F932">
        <v>9</v>
      </c>
      <c r="G932">
        <v>12</v>
      </c>
      <c r="H932" t="s">
        <v>2814</v>
      </c>
      <c r="I93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32" t="s">
        <v>937</v>
      </c>
      <c r="K932" t="str">
        <f>RIGHT(Tabla2[[#This Row],[codigo_producto]],LEN(Tabla2[[#This Row],[codigo_producto]])-FIND("/",Tabla2[[#This Row],[codigo_producto]]))</f>
        <v>PC2011410201</v>
      </c>
      <c r="L932" t="str">
        <f>LEFT(Tabla2[[#This Row],[codigo_producto]],FIND("/",Tabla2[[#This Row],[codigo_producto]])-1)</f>
        <v>6</v>
      </c>
      <c r="M93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933" spans="1:13" x14ac:dyDescent="0.25">
      <c r="A933" t="s">
        <v>3751</v>
      </c>
      <c r="B933" t="s">
        <v>2384</v>
      </c>
      <c r="C933" t="s">
        <v>2384</v>
      </c>
      <c r="D933">
        <v>32</v>
      </c>
      <c r="E933">
        <v>1</v>
      </c>
      <c r="F933">
        <v>9</v>
      </c>
      <c r="G933">
        <v>12</v>
      </c>
      <c r="H933" t="s">
        <v>2814</v>
      </c>
      <c r="I93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33" t="s">
        <v>938</v>
      </c>
      <c r="K933" t="str">
        <f>RIGHT(Tabla2[[#This Row],[codigo_producto]],LEN(Tabla2[[#This Row],[codigo_producto]])-FIND("/",Tabla2[[#This Row],[codigo_producto]]))</f>
        <v>PROTTOLVAF70</v>
      </c>
      <c r="L933" t="str">
        <f>LEFT(Tabla2[[#This Row],[codigo_producto]],FIND("/",Tabla2[[#This Row],[codigo_producto]])-1)</f>
        <v>6</v>
      </c>
      <c r="M93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934" spans="1:13" x14ac:dyDescent="0.25">
      <c r="A934" t="s">
        <v>3752</v>
      </c>
      <c r="B934" t="s">
        <v>2385</v>
      </c>
      <c r="C934" t="s">
        <v>2385</v>
      </c>
      <c r="D934">
        <v>32</v>
      </c>
      <c r="E934">
        <v>5</v>
      </c>
      <c r="F934">
        <v>9</v>
      </c>
      <c r="G934">
        <v>12</v>
      </c>
      <c r="H934" t="s">
        <v>2814</v>
      </c>
      <c r="I93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34" t="s">
        <v>939</v>
      </c>
      <c r="K934" t="str">
        <f>RIGHT(Tabla2[[#This Row],[codigo_producto]],LEN(Tabla2[[#This Row],[codigo_producto]])-FIND("/",Tabla2[[#This Row],[codigo_producto]]))</f>
        <v>1001700V6550</v>
      </c>
      <c r="L934" t="str">
        <f>LEFT(Tabla2[[#This Row],[codigo_producto]],FIND("/",Tabla2[[#This Row],[codigo_producto]])-1)</f>
        <v>7</v>
      </c>
      <c r="M93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35" spans="1:13" x14ac:dyDescent="0.25">
      <c r="A935" t="s">
        <v>3753</v>
      </c>
      <c r="B935" t="s">
        <v>2386</v>
      </c>
      <c r="C935" t="s">
        <v>2386</v>
      </c>
      <c r="D935">
        <v>32</v>
      </c>
      <c r="E935">
        <v>5</v>
      </c>
      <c r="F935">
        <v>9</v>
      </c>
      <c r="G935">
        <v>12</v>
      </c>
      <c r="H935" t="s">
        <v>2814</v>
      </c>
      <c r="I93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35" t="s">
        <v>940</v>
      </c>
      <c r="K935" t="str">
        <f>RIGHT(Tabla2[[#This Row],[codigo_producto]],LEN(Tabla2[[#This Row],[codigo_producto]])-FIND("/",Tabla2[[#This Row],[codigo_producto]]))</f>
        <v>1002015FB040</v>
      </c>
      <c r="L935" t="str">
        <f>LEFT(Tabla2[[#This Row],[codigo_producto]],FIND("/",Tabla2[[#This Row],[codigo_producto]])-1)</f>
        <v>7</v>
      </c>
      <c r="M93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36" spans="1:13" x14ac:dyDescent="0.25">
      <c r="A936" t="s">
        <v>3754</v>
      </c>
      <c r="B936" t="s">
        <v>2387</v>
      </c>
      <c r="C936" t="s">
        <v>2387</v>
      </c>
      <c r="D936">
        <v>32</v>
      </c>
      <c r="E936">
        <v>5</v>
      </c>
      <c r="F936">
        <v>9</v>
      </c>
      <c r="G936">
        <v>12</v>
      </c>
      <c r="H936" t="s">
        <v>2814</v>
      </c>
      <c r="I93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36" t="s">
        <v>941</v>
      </c>
      <c r="K936" t="str">
        <f>RIGHT(Tabla2[[#This Row],[codigo_producto]],LEN(Tabla2[[#This Row],[codigo_producto]])-FIND("/",Tabla2[[#This Row],[codigo_producto]]))</f>
        <v>1002016FB040</v>
      </c>
      <c r="L936" t="str">
        <f>LEFT(Tabla2[[#This Row],[codigo_producto]],FIND("/",Tabla2[[#This Row],[codigo_producto]])-1)</f>
        <v>7</v>
      </c>
      <c r="M93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37" spans="1:13" x14ac:dyDescent="0.25">
      <c r="A937" t="s">
        <v>3755</v>
      </c>
      <c r="B937" t="s">
        <v>2359</v>
      </c>
      <c r="C937" t="s">
        <v>2359</v>
      </c>
      <c r="D937">
        <v>32</v>
      </c>
      <c r="E937">
        <v>5</v>
      </c>
      <c r="F937">
        <v>9</v>
      </c>
      <c r="G937">
        <v>12</v>
      </c>
      <c r="H937" t="s">
        <v>2814</v>
      </c>
      <c r="I93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37" t="s">
        <v>942</v>
      </c>
      <c r="K937" t="str">
        <f>RIGHT(Tabla2[[#This Row],[codigo_producto]],LEN(Tabla2[[#This Row],[codigo_producto]])-FIND("/",Tabla2[[#This Row],[codigo_producto]]))</f>
        <v>1003014FD040</v>
      </c>
      <c r="L937" t="str">
        <f>LEFT(Tabla2[[#This Row],[codigo_producto]],FIND("/",Tabla2[[#This Row],[codigo_producto]])-1)</f>
        <v>7</v>
      </c>
      <c r="M93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38" spans="1:13" x14ac:dyDescent="0.25">
      <c r="A938" t="s">
        <v>3756</v>
      </c>
      <c r="B938" t="s">
        <v>2360</v>
      </c>
      <c r="C938" t="s">
        <v>2360</v>
      </c>
      <c r="D938">
        <v>32</v>
      </c>
      <c r="E938">
        <v>5</v>
      </c>
      <c r="F938">
        <v>9</v>
      </c>
      <c r="G938">
        <v>12</v>
      </c>
      <c r="H938" t="s">
        <v>2814</v>
      </c>
      <c r="I93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38" t="s">
        <v>943</v>
      </c>
      <c r="K938" t="str">
        <f>RIGHT(Tabla2[[#This Row],[codigo_producto]],LEN(Tabla2[[#This Row],[codigo_producto]])-FIND("/",Tabla2[[#This Row],[codigo_producto]]))</f>
        <v>1003015FD020</v>
      </c>
      <c r="L938" t="str">
        <f>LEFT(Tabla2[[#This Row],[codigo_producto]],FIND("/",Tabla2[[#This Row],[codigo_producto]])-1)</f>
        <v>7</v>
      </c>
      <c r="M93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39" spans="1:13" x14ac:dyDescent="0.25">
      <c r="A939" t="s">
        <v>3757</v>
      </c>
      <c r="B939" t="s">
        <v>2388</v>
      </c>
      <c r="C939" t="s">
        <v>2388</v>
      </c>
      <c r="D939">
        <v>32</v>
      </c>
      <c r="E939">
        <v>5</v>
      </c>
      <c r="F939">
        <v>9</v>
      </c>
      <c r="G939">
        <v>12</v>
      </c>
      <c r="H939" t="s">
        <v>2814</v>
      </c>
      <c r="I93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39" t="s">
        <v>944</v>
      </c>
      <c r="K939" t="str">
        <f>RIGHT(Tabla2[[#This Row],[codigo_producto]],LEN(Tabla2[[#This Row],[codigo_producto]])-FIND("/",Tabla2[[#This Row],[codigo_producto]]))</f>
        <v>1003036GD150</v>
      </c>
      <c r="L939" t="str">
        <f>LEFT(Tabla2[[#This Row],[codigo_producto]],FIND("/",Tabla2[[#This Row],[codigo_producto]])-1)</f>
        <v>7</v>
      </c>
      <c r="M93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40" spans="1:13" x14ac:dyDescent="0.25">
      <c r="A940" t="s">
        <v>3758</v>
      </c>
      <c r="B940" t="s">
        <v>2389</v>
      </c>
      <c r="C940" t="s">
        <v>2389</v>
      </c>
      <c r="D940">
        <v>32</v>
      </c>
      <c r="E940">
        <v>5</v>
      </c>
      <c r="F940">
        <v>9</v>
      </c>
      <c r="G940">
        <v>12</v>
      </c>
      <c r="H940" t="s">
        <v>2814</v>
      </c>
      <c r="I94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40" t="s">
        <v>945</v>
      </c>
      <c r="K940" t="str">
        <f>RIGHT(Tabla2[[#This Row],[codigo_producto]],LEN(Tabla2[[#This Row],[codigo_producto]])-FIND("/",Tabla2[[#This Row],[codigo_producto]]))</f>
        <v>1004010FD020</v>
      </c>
      <c r="L940" t="str">
        <f>LEFT(Tabla2[[#This Row],[codigo_producto]],FIND("/",Tabla2[[#This Row],[codigo_producto]])-1)</f>
        <v>7</v>
      </c>
      <c r="M94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41" spans="1:13" x14ac:dyDescent="0.25">
      <c r="A941" t="s">
        <v>3759</v>
      </c>
      <c r="B941" t="s">
        <v>2390</v>
      </c>
      <c r="C941" t="s">
        <v>2390</v>
      </c>
      <c r="D941">
        <v>32</v>
      </c>
      <c r="E941">
        <v>5</v>
      </c>
      <c r="F941">
        <v>9</v>
      </c>
      <c r="G941">
        <v>12</v>
      </c>
      <c r="H941" t="s">
        <v>2814</v>
      </c>
      <c r="I94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41" t="s">
        <v>946</v>
      </c>
      <c r="K941" t="str">
        <f>RIGHT(Tabla2[[#This Row],[codigo_producto]],LEN(Tabla2[[#This Row],[codigo_producto]])-FIND("/",Tabla2[[#This Row],[codigo_producto]]))</f>
        <v>1004027FB040</v>
      </c>
      <c r="L941" t="str">
        <f>LEFT(Tabla2[[#This Row],[codigo_producto]],FIND("/",Tabla2[[#This Row],[codigo_producto]])-1)</f>
        <v>7</v>
      </c>
      <c r="M94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42" spans="1:13" x14ac:dyDescent="0.25">
      <c r="A942" t="s">
        <v>3760</v>
      </c>
      <c r="B942" t="s">
        <v>1793</v>
      </c>
      <c r="C942" t="s">
        <v>1793</v>
      </c>
      <c r="D942">
        <v>32</v>
      </c>
      <c r="E942">
        <v>5</v>
      </c>
      <c r="F942">
        <v>9</v>
      </c>
      <c r="G942">
        <v>12</v>
      </c>
      <c r="H942" t="s">
        <v>2814</v>
      </c>
      <c r="I94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42" t="s">
        <v>947</v>
      </c>
      <c r="K942" t="str">
        <f>RIGHT(Tabla2[[#This Row],[codigo_producto]],LEN(Tabla2[[#This Row],[codigo_producto]])-FIND("/",Tabla2[[#This Row],[codigo_producto]]))</f>
        <v>1009105FE010</v>
      </c>
      <c r="L942" t="str">
        <f>LEFT(Tabla2[[#This Row],[codigo_producto]],FIND("/",Tabla2[[#This Row],[codigo_producto]])-1)</f>
        <v>7</v>
      </c>
      <c r="M94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43" spans="1:13" x14ac:dyDescent="0.25">
      <c r="A943" t="s">
        <v>3761</v>
      </c>
      <c r="B943" t="s">
        <v>1793</v>
      </c>
      <c r="C943" t="s">
        <v>1793</v>
      </c>
      <c r="D943">
        <v>32</v>
      </c>
      <c r="E943">
        <v>5</v>
      </c>
      <c r="F943">
        <v>9</v>
      </c>
      <c r="G943">
        <v>12</v>
      </c>
      <c r="H943" t="s">
        <v>2814</v>
      </c>
      <c r="I94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43" t="s">
        <v>948</v>
      </c>
      <c r="K943" t="str">
        <f>RIGHT(Tabla2[[#This Row],[codigo_producto]],LEN(Tabla2[[#This Row],[codigo_producto]])-FIND("/",Tabla2[[#This Row],[codigo_producto]]))</f>
        <v>1009113FB100</v>
      </c>
      <c r="L943" t="str">
        <f>LEFT(Tabla2[[#This Row],[codigo_producto]],FIND("/",Tabla2[[#This Row],[codigo_producto]])-1)</f>
        <v>7</v>
      </c>
      <c r="M94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44" spans="1:13" x14ac:dyDescent="0.25">
      <c r="A944" t="s">
        <v>3762</v>
      </c>
      <c r="B944" t="s">
        <v>1712</v>
      </c>
      <c r="C944" t="s">
        <v>1712</v>
      </c>
      <c r="D944">
        <v>32</v>
      </c>
      <c r="E944">
        <v>5</v>
      </c>
      <c r="F944">
        <v>9</v>
      </c>
      <c r="G944">
        <v>12</v>
      </c>
      <c r="H944" t="s">
        <v>2814</v>
      </c>
      <c r="I94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44" t="s">
        <v>949</v>
      </c>
      <c r="K944" t="str">
        <f>RIGHT(Tabla2[[#This Row],[codigo_producto]],LEN(Tabla2[[#This Row],[codigo_producto]])-FIND("/",Tabla2[[#This Row],[codigo_producto]]))</f>
        <v>1010210GD052</v>
      </c>
      <c r="L944" t="str">
        <f>LEFT(Tabla2[[#This Row],[codigo_producto]],FIND("/",Tabla2[[#This Row],[codigo_producto]])-1)</f>
        <v>7</v>
      </c>
      <c r="M94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45" spans="1:13" x14ac:dyDescent="0.25">
      <c r="A945" t="s">
        <v>3763</v>
      </c>
      <c r="B945" t="s">
        <v>1733</v>
      </c>
      <c r="C945" t="s">
        <v>1733</v>
      </c>
      <c r="D945">
        <v>32</v>
      </c>
      <c r="E945">
        <v>5</v>
      </c>
      <c r="F945">
        <v>9</v>
      </c>
      <c r="G945">
        <v>12</v>
      </c>
      <c r="H945" t="s">
        <v>2814</v>
      </c>
      <c r="I94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45" t="s">
        <v>950</v>
      </c>
      <c r="K945" t="str">
        <f>RIGHT(Tabla2[[#This Row],[codigo_producto]],LEN(Tabla2[[#This Row],[codigo_producto]])-FIND("/",Tabla2[[#This Row],[codigo_producto]]))</f>
        <v>1010320FB040</v>
      </c>
      <c r="L945" t="str">
        <f>LEFT(Tabla2[[#This Row],[codigo_producto]],FIND("/",Tabla2[[#This Row],[codigo_producto]])-1)</f>
        <v>7</v>
      </c>
      <c r="M94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46" spans="1:13" x14ac:dyDescent="0.25">
      <c r="A946" t="s">
        <v>3764</v>
      </c>
      <c r="B946" t="s">
        <v>1712</v>
      </c>
      <c r="C946" t="s">
        <v>1712</v>
      </c>
      <c r="D946">
        <v>32</v>
      </c>
      <c r="E946">
        <v>5</v>
      </c>
      <c r="F946">
        <v>9</v>
      </c>
      <c r="G946">
        <v>12</v>
      </c>
      <c r="H946" t="s">
        <v>2814</v>
      </c>
      <c r="I94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46" t="s">
        <v>951</v>
      </c>
      <c r="K946" t="str">
        <f>RIGHT(Tabla2[[#This Row],[codigo_producto]],LEN(Tabla2[[#This Row],[codigo_producto]])-FIND("/",Tabla2[[#This Row],[codigo_producto]]))</f>
        <v>1010320FB100</v>
      </c>
      <c r="L946" t="str">
        <f>LEFT(Tabla2[[#This Row],[codigo_producto]],FIND("/",Tabla2[[#This Row],[codigo_producto]])-1)</f>
        <v>7</v>
      </c>
      <c r="M94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47" spans="1:13" x14ac:dyDescent="0.25">
      <c r="A947" t="s">
        <v>3765</v>
      </c>
      <c r="B947" t="s">
        <v>1712</v>
      </c>
      <c r="C947" t="s">
        <v>1712</v>
      </c>
      <c r="D947">
        <v>32</v>
      </c>
      <c r="E947">
        <v>5</v>
      </c>
      <c r="F947">
        <v>9</v>
      </c>
      <c r="G947">
        <v>12</v>
      </c>
      <c r="H947" t="s">
        <v>2814</v>
      </c>
      <c r="I94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47" t="s">
        <v>952</v>
      </c>
      <c r="K947" t="str">
        <f>RIGHT(Tabla2[[#This Row],[codigo_producto]],LEN(Tabla2[[#This Row],[codigo_producto]])-FIND("/",Tabla2[[#This Row],[codigo_producto]]))</f>
        <v>1010320FD060</v>
      </c>
      <c r="L947" t="str">
        <f>LEFT(Tabla2[[#This Row],[codigo_producto]],FIND("/",Tabla2[[#This Row],[codigo_producto]])-1)</f>
        <v>7</v>
      </c>
      <c r="M94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48" spans="1:13" x14ac:dyDescent="0.25">
      <c r="A948" t="s">
        <v>3766</v>
      </c>
      <c r="B948" t="s">
        <v>2391</v>
      </c>
      <c r="C948" t="s">
        <v>2391</v>
      </c>
      <c r="D948">
        <v>32</v>
      </c>
      <c r="E948">
        <v>5</v>
      </c>
      <c r="F948">
        <v>9</v>
      </c>
      <c r="G948">
        <v>12</v>
      </c>
      <c r="H948" t="s">
        <v>2814</v>
      </c>
      <c r="I94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48" t="s">
        <v>953</v>
      </c>
      <c r="K948" t="str">
        <f>RIGHT(Tabla2[[#This Row],[codigo_producto]],LEN(Tabla2[[#This Row],[codigo_producto]])-FIND("/",Tabla2[[#This Row],[codigo_producto]]))</f>
        <v>1015601GD150</v>
      </c>
      <c r="L948" t="str">
        <f>LEFT(Tabla2[[#This Row],[codigo_producto]],FIND("/",Tabla2[[#This Row],[codigo_producto]])-1)</f>
        <v>7</v>
      </c>
      <c r="M94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49" spans="1:13" x14ac:dyDescent="0.25">
      <c r="A949" t="s">
        <v>3767</v>
      </c>
      <c r="B949" t="s">
        <v>2392</v>
      </c>
      <c r="C949" t="s">
        <v>2392</v>
      </c>
      <c r="D949">
        <v>32</v>
      </c>
      <c r="E949">
        <v>5</v>
      </c>
      <c r="F949">
        <v>9</v>
      </c>
      <c r="G949">
        <v>12</v>
      </c>
      <c r="H949" t="s">
        <v>2814</v>
      </c>
      <c r="I94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49" t="s">
        <v>954</v>
      </c>
      <c r="K949" t="str">
        <f>RIGHT(Tabla2[[#This Row],[codigo_producto]],LEN(Tabla2[[#This Row],[codigo_producto]])-FIND("/",Tabla2[[#This Row],[codigo_producto]]))</f>
        <v>1015602GD150</v>
      </c>
      <c r="L949" t="str">
        <f>LEFT(Tabla2[[#This Row],[codigo_producto]],FIND("/",Tabla2[[#This Row],[codigo_producto]])-1)</f>
        <v>7</v>
      </c>
      <c r="M94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50" spans="1:13" x14ac:dyDescent="0.25">
      <c r="A950" t="s">
        <v>3768</v>
      </c>
      <c r="B950" t="s">
        <v>2393</v>
      </c>
      <c r="C950" t="s">
        <v>2393</v>
      </c>
      <c r="D950">
        <v>32</v>
      </c>
      <c r="E950">
        <v>5</v>
      </c>
      <c r="F950">
        <v>9</v>
      </c>
      <c r="G950">
        <v>12</v>
      </c>
      <c r="H950" t="s">
        <v>2814</v>
      </c>
      <c r="I95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50" t="s">
        <v>955</v>
      </c>
      <c r="K950" t="str">
        <f>RIGHT(Tabla2[[#This Row],[codigo_producto]],LEN(Tabla2[[#This Row],[codigo_producto]])-FIND("/",Tabla2[[#This Row],[codigo_producto]]))</f>
        <v>1015610GD150</v>
      </c>
      <c r="L950" t="str">
        <f>LEFT(Tabla2[[#This Row],[codigo_producto]],FIND("/",Tabla2[[#This Row],[codigo_producto]])-1)</f>
        <v>7</v>
      </c>
      <c r="M95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51" spans="1:13" x14ac:dyDescent="0.25">
      <c r="A951" t="s">
        <v>3769</v>
      </c>
      <c r="B951" t="s">
        <v>2394</v>
      </c>
      <c r="C951" t="s">
        <v>2394</v>
      </c>
      <c r="D951">
        <v>32</v>
      </c>
      <c r="E951">
        <v>5</v>
      </c>
      <c r="F951">
        <v>9</v>
      </c>
      <c r="G951">
        <v>12</v>
      </c>
      <c r="H951" t="s">
        <v>2814</v>
      </c>
      <c r="I95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51" t="s">
        <v>956</v>
      </c>
      <c r="K951" t="str">
        <f>RIGHT(Tabla2[[#This Row],[codigo_producto]],LEN(Tabla2[[#This Row],[codigo_producto]])-FIND("/",Tabla2[[#This Row],[codigo_producto]]))</f>
        <v>1015620GD150</v>
      </c>
      <c r="L951" t="str">
        <f>LEFT(Tabla2[[#This Row],[codigo_producto]],FIND("/",Tabla2[[#This Row],[codigo_producto]])-1)</f>
        <v>7</v>
      </c>
      <c r="M95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52" spans="1:13" x14ac:dyDescent="0.25">
      <c r="A952" t="s">
        <v>3770</v>
      </c>
      <c r="B952" t="s">
        <v>1733</v>
      </c>
      <c r="C952" t="s">
        <v>1733</v>
      </c>
      <c r="D952">
        <v>32</v>
      </c>
      <c r="E952">
        <v>5</v>
      </c>
      <c r="F952">
        <v>9</v>
      </c>
      <c r="G952">
        <v>12</v>
      </c>
      <c r="H952" t="s">
        <v>2814</v>
      </c>
      <c r="I95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52" t="s">
        <v>957</v>
      </c>
      <c r="K952" t="str">
        <f>RIGHT(Tabla2[[#This Row],[codigo_producto]],LEN(Tabla2[[#This Row],[codigo_producto]])-FIND("/",Tabla2[[#This Row],[codigo_producto]]))</f>
        <v>1017100GG010</v>
      </c>
      <c r="L952" t="str">
        <f>LEFT(Tabla2[[#This Row],[codigo_producto]],FIND("/",Tabla2[[#This Row],[codigo_producto]])-1)</f>
        <v>7</v>
      </c>
      <c r="M95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53" spans="1:13" x14ac:dyDescent="0.25">
      <c r="A953" t="s">
        <v>3771</v>
      </c>
      <c r="B953" t="s">
        <v>2395</v>
      </c>
      <c r="C953" t="s">
        <v>2395</v>
      </c>
      <c r="D953">
        <v>32</v>
      </c>
      <c r="E953">
        <v>5</v>
      </c>
      <c r="F953">
        <v>9</v>
      </c>
      <c r="G953">
        <v>12</v>
      </c>
      <c r="H953" t="s">
        <v>2814</v>
      </c>
      <c r="I95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53" t="s">
        <v>958</v>
      </c>
      <c r="K953" t="str">
        <f>RIGHT(Tabla2[[#This Row],[codigo_producto]],LEN(Tabla2[[#This Row],[codigo_producto]])-FIND("/",Tabla2[[#This Row],[codigo_producto]]))</f>
        <v>1021018FD020</v>
      </c>
      <c r="L953" t="str">
        <f>LEFT(Tabla2[[#This Row],[codigo_producto]],FIND("/",Tabla2[[#This Row],[codigo_producto]])-1)</f>
        <v>7</v>
      </c>
      <c r="M95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54" spans="1:13" x14ac:dyDescent="0.25">
      <c r="A954" t="s">
        <v>3772</v>
      </c>
      <c r="B954" t="s">
        <v>2395</v>
      </c>
      <c r="C954" t="s">
        <v>2395</v>
      </c>
      <c r="D954">
        <v>32</v>
      </c>
      <c r="E954">
        <v>5</v>
      </c>
      <c r="F954">
        <v>9</v>
      </c>
      <c r="G954">
        <v>12</v>
      </c>
      <c r="H954" t="s">
        <v>2814</v>
      </c>
      <c r="I95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54" t="s">
        <v>959</v>
      </c>
      <c r="K954" t="str">
        <f>RIGHT(Tabla2[[#This Row],[codigo_producto]],LEN(Tabla2[[#This Row],[codigo_producto]])-FIND("/",Tabla2[[#This Row],[codigo_producto]]))</f>
        <v>1021019FD020</v>
      </c>
      <c r="L954" t="str">
        <f>LEFT(Tabla2[[#This Row],[codigo_producto]],FIND("/",Tabla2[[#This Row],[codigo_producto]])-1)</f>
        <v>7</v>
      </c>
      <c r="M95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55" spans="1:13" x14ac:dyDescent="0.25">
      <c r="A955" t="s">
        <v>3773</v>
      </c>
      <c r="B955" t="s">
        <v>2395</v>
      </c>
      <c r="C955" t="s">
        <v>2395</v>
      </c>
      <c r="D955">
        <v>32</v>
      </c>
      <c r="E955">
        <v>5</v>
      </c>
      <c r="F955">
        <v>9</v>
      </c>
      <c r="G955">
        <v>12</v>
      </c>
      <c r="H955" t="s">
        <v>2814</v>
      </c>
      <c r="I95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55" t="s">
        <v>960</v>
      </c>
      <c r="K955" t="str">
        <f>RIGHT(Tabla2[[#This Row],[codigo_producto]],LEN(Tabla2[[#This Row],[codigo_producto]])-FIND("/",Tabla2[[#This Row],[codigo_producto]]))</f>
        <v>1021060FD020</v>
      </c>
      <c r="L955" t="str">
        <f>LEFT(Tabla2[[#This Row],[codigo_producto]],FIND("/",Tabla2[[#This Row],[codigo_producto]])-1)</f>
        <v>7</v>
      </c>
      <c r="M95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56" spans="1:13" x14ac:dyDescent="0.25">
      <c r="A956" t="s">
        <v>3774</v>
      </c>
      <c r="B956" t="s">
        <v>2395</v>
      </c>
      <c r="C956" t="s">
        <v>2395</v>
      </c>
      <c r="D956">
        <v>32</v>
      </c>
      <c r="E956">
        <v>5</v>
      </c>
      <c r="F956">
        <v>9</v>
      </c>
      <c r="G956">
        <v>12</v>
      </c>
      <c r="H956" t="s">
        <v>2814</v>
      </c>
      <c r="I95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56" t="s">
        <v>961</v>
      </c>
      <c r="K956" t="str">
        <f>RIGHT(Tabla2[[#This Row],[codigo_producto]],LEN(Tabla2[[#This Row],[codigo_producto]])-FIND("/",Tabla2[[#This Row],[codigo_producto]]))</f>
        <v>1021070FD020</v>
      </c>
      <c r="L956" t="str">
        <f>LEFT(Tabla2[[#This Row],[codigo_producto]],FIND("/",Tabla2[[#This Row],[codigo_producto]])-1)</f>
        <v>7</v>
      </c>
      <c r="M95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57" spans="1:13" x14ac:dyDescent="0.25">
      <c r="A957" t="s">
        <v>3775</v>
      </c>
      <c r="B957" t="s">
        <v>2395</v>
      </c>
      <c r="C957" t="s">
        <v>2395</v>
      </c>
      <c r="D957">
        <v>32</v>
      </c>
      <c r="E957">
        <v>5</v>
      </c>
      <c r="F957">
        <v>9</v>
      </c>
      <c r="G957">
        <v>12</v>
      </c>
      <c r="H957" t="s">
        <v>2814</v>
      </c>
      <c r="I95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57" t="s">
        <v>962</v>
      </c>
      <c r="K957" t="str">
        <f>RIGHT(Tabla2[[#This Row],[codigo_producto]],LEN(Tabla2[[#This Row],[codigo_producto]])-FIND("/",Tabla2[[#This Row],[codigo_producto]]))</f>
        <v>1021080FD020</v>
      </c>
      <c r="L957" t="str">
        <f>LEFT(Tabla2[[#This Row],[codigo_producto]],FIND("/",Tabla2[[#This Row],[codigo_producto]])-1)</f>
        <v>7</v>
      </c>
      <c r="M95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58" spans="1:13" x14ac:dyDescent="0.25">
      <c r="A958" t="s">
        <v>3776</v>
      </c>
      <c r="B958" t="s">
        <v>2396</v>
      </c>
      <c r="C958" t="s">
        <v>2396</v>
      </c>
      <c r="D958">
        <v>32</v>
      </c>
      <c r="E958">
        <v>5</v>
      </c>
      <c r="F958">
        <v>9</v>
      </c>
      <c r="G958">
        <v>12</v>
      </c>
      <c r="H958" t="s">
        <v>2814</v>
      </c>
      <c r="I95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58" t="s">
        <v>963</v>
      </c>
      <c r="K958" t="str">
        <f>RIGHT(Tabla2[[#This Row],[codigo_producto]],LEN(Tabla2[[#This Row],[codigo_producto]])-FIND("/",Tabla2[[#This Row],[codigo_producto]]))</f>
        <v>1021090FD020</v>
      </c>
      <c r="L958" t="str">
        <f>LEFT(Tabla2[[#This Row],[codigo_producto]],FIND("/",Tabla2[[#This Row],[codigo_producto]])-1)</f>
        <v>7</v>
      </c>
      <c r="M95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59" spans="1:13" x14ac:dyDescent="0.25">
      <c r="A959" t="s">
        <v>3777</v>
      </c>
      <c r="B959" t="s">
        <v>1867</v>
      </c>
      <c r="C959" t="s">
        <v>1867</v>
      </c>
      <c r="D959">
        <v>32</v>
      </c>
      <c r="E959">
        <v>5</v>
      </c>
      <c r="F959">
        <v>9</v>
      </c>
      <c r="G959">
        <v>12</v>
      </c>
      <c r="H959" t="s">
        <v>2814</v>
      </c>
      <c r="I95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59" t="s">
        <v>964</v>
      </c>
      <c r="K959" t="str">
        <f>RIGHT(Tabla2[[#This Row],[codigo_producto]],LEN(Tabla2[[#This Row],[codigo_producto]])-FIND("/",Tabla2[[#This Row],[codigo_producto]]))</f>
        <v>1021110FD020</v>
      </c>
      <c r="L959" t="str">
        <f>LEFT(Tabla2[[#This Row],[codigo_producto]],FIND("/",Tabla2[[#This Row],[codigo_producto]])-1)</f>
        <v>7</v>
      </c>
      <c r="M95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60" spans="1:13" x14ac:dyDescent="0.25">
      <c r="A960" t="s">
        <v>3778</v>
      </c>
      <c r="B960" t="s">
        <v>1867</v>
      </c>
      <c r="C960" t="s">
        <v>1867</v>
      </c>
      <c r="D960">
        <v>32</v>
      </c>
      <c r="E960">
        <v>5</v>
      </c>
      <c r="F960">
        <v>9</v>
      </c>
      <c r="G960">
        <v>12</v>
      </c>
      <c r="H960" t="s">
        <v>2814</v>
      </c>
      <c r="I96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60" t="s">
        <v>965</v>
      </c>
      <c r="K960" t="str">
        <f>RIGHT(Tabla2[[#This Row],[codigo_producto]],LEN(Tabla2[[#This Row],[codigo_producto]])-FIND("/",Tabla2[[#This Row],[codigo_producto]]))</f>
        <v>1021120FD020</v>
      </c>
      <c r="L960" t="str">
        <f>LEFT(Tabla2[[#This Row],[codigo_producto]],FIND("/",Tabla2[[#This Row],[codigo_producto]])-1)</f>
        <v>7</v>
      </c>
      <c r="M96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61" spans="1:13" x14ac:dyDescent="0.25">
      <c r="A961" t="s">
        <v>3779</v>
      </c>
      <c r="B961" t="s">
        <v>1901</v>
      </c>
      <c r="C961" t="s">
        <v>1901</v>
      </c>
      <c r="D961">
        <v>32</v>
      </c>
      <c r="E961">
        <v>5</v>
      </c>
      <c r="F961">
        <v>9</v>
      </c>
      <c r="G961">
        <v>12</v>
      </c>
      <c r="H961" t="s">
        <v>2814</v>
      </c>
      <c r="I96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61" t="s">
        <v>966</v>
      </c>
      <c r="K961" t="str">
        <f>RIGHT(Tabla2[[#This Row],[codigo_producto]],LEN(Tabla2[[#This Row],[codigo_producto]])-FIND("/",Tabla2[[#This Row],[codigo_producto]]))</f>
        <v>1023611GD150</v>
      </c>
      <c r="L961" t="str">
        <f>LEFT(Tabla2[[#This Row],[codigo_producto]],FIND("/",Tabla2[[#This Row],[codigo_producto]])-1)</f>
        <v>7</v>
      </c>
      <c r="M96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62" spans="1:13" x14ac:dyDescent="0.25">
      <c r="A962" t="s">
        <v>3780</v>
      </c>
      <c r="B962" t="s">
        <v>1816</v>
      </c>
      <c r="C962" t="s">
        <v>1816</v>
      </c>
      <c r="D962">
        <v>32</v>
      </c>
      <c r="E962">
        <v>5</v>
      </c>
      <c r="F962">
        <v>9</v>
      </c>
      <c r="G962">
        <v>12</v>
      </c>
      <c r="H962" t="s">
        <v>2814</v>
      </c>
      <c r="I96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62" t="s">
        <v>967</v>
      </c>
      <c r="K962" t="str">
        <f>RIGHT(Tabla2[[#This Row],[codigo_producto]],LEN(Tabla2[[#This Row],[codigo_producto]])-FIND("/",Tabla2[[#This Row],[codigo_producto]]))</f>
        <v>1025014GH050</v>
      </c>
      <c r="L962" t="str">
        <f>LEFT(Tabla2[[#This Row],[codigo_producto]],FIND("/",Tabla2[[#This Row],[codigo_producto]])-1)</f>
        <v>7</v>
      </c>
      <c r="M96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63" spans="1:13" x14ac:dyDescent="0.25">
      <c r="A963" t="s">
        <v>3781</v>
      </c>
      <c r="B963" t="s">
        <v>1822</v>
      </c>
      <c r="C963" t="s">
        <v>1822</v>
      </c>
      <c r="D963">
        <v>32</v>
      </c>
      <c r="E963">
        <v>5</v>
      </c>
      <c r="F963">
        <v>9</v>
      </c>
      <c r="G963">
        <v>12</v>
      </c>
      <c r="H963" t="s">
        <v>2814</v>
      </c>
      <c r="I96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63" t="s">
        <v>968</v>
      </c>
      <c r="K963" t="str">
        <f>RIGHT(Tabla2[[#This Row],[codigo_producto]],LEN(Tabla2[[#This Row],[codigo_producto]])-FIND("/",Tabla2[[#This Row],[codigo_producto]]))</f>
        <v>1025014GH055</v>
      </c>
      <c r="L963" t="str">
        <f>LEFT(Tabla2[[#This Row],[codigo_producto]],FIND("/",Tabla2[[#This Row],[codigo_producto]])-1)</f>
        <v>7</v>
      </c>
      <c r="M96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64" spans="1:13" x14ac:dyDescent="0.25">
      <c r="A964" t="s">
        <v>3782</v>
      </c>
      <c r="B964" t="s">
        <v>2397</v>
      </c>
      <c r="C964" t="s">
        <v>2397</v>
      </c>
      <c r="D964">
        <v>32</v>
      </c>
      <c r="E964">
        <v>5</v>
      </c>
      <c r="F964">
        <v>9</v>
      </c>
      <c r="G964">
        <v>12</v>
      </c>
      <c r="H964" t="s">
        <v>2814</v>
      </c>
      <c r="I96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64" t="s">
        <v>969</v>
      </c>
      <c r="K964" t="str">
        <f>RIGHT(Tabla2[[#This Row],[codigo_producto]],LEN(Tabla2[[#This Row],[codigo_producto]])-FIND("/",Tabla2[[#This Row],[codigo_producto]]))</f>
        <v>1025018FB014</v>
      </c>
      <c r="L964" t="str">
        <f>LEFT(Tabla2[[#This Row],[codigo_producto]],FIND("/",Tabla2[[#This Row],[codigo_producto]])-1)</f>
        <v>7</v>
      </c>
      <c r="M96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65" spans="1:13" x14ac:dyDescent="0.25">
      <c r="A965" t="s">
        <v>3783</v>
      </c>
      <c r="B965" t="s">
        <v>2398</v>
      </c>
      <c r="C965" t="s">
        <v>2398</v>
      </c>
      <c r="D965">
        <v>32</v>
      </c>
      <c r="E965">
        <v>5</v>
      </c>
      <c r="F965">
        <v>9</v>
      </c>
      <c r="G965">
        <v>12</v>
      </c>
      <c r="H965" t="s">
        <v>2814</v>
      </c>
      <c r="I96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65" t="s">
        <v>970</v>
      </c>
      <c r="K965" t="str">
        <f>RIGHT(Tabla2[[#This Row],[codigo_producto]],LEN(Tabla2[[#This Row],[codigo_producto]])-FIND("/",Tabla2[[#This Row],[codigo_producto]]))</f>
        <v>1025018FD040</v>
      </c>
      <c r="L965" t="str">
        <f>LEFT(Tabla2[[#This Row],[codigo_producto]],FIND("/",Tabla2[[#This Row],[codigo_producto]])-1)</f>
        <v>7</v>
      </c>
      <c r="M96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66" spans="1:13" x14ac:dyDescent="0.25">
      <c r="A966" t="s">
        <v>3784</v>
      </c>
      <c r="B966" t="s">
        <v>2399</v>
      </c>
      <c r="C966" t="s">
        <v>2399</v>
      </c>
      <c r="D966">
        <v>32</v>
      </c>
      <c r="E966">
        <v>5</v>
      </c>
      <c r="F966">
        <v>9</v>
      </c>
      <c r="G966">
        <v>12</v>
      </c>
      <c r="H966" t="s">
        <v>2814</v>
      </c>
      <c r="I96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66" t="s">
        <v>971</v>
      </c>
      <c r="K966" t="str">
        <f>RIGHT(Tabla2[[#This Row],[codigo_producto]],LEN(Tabla2[[#This Row],[codigo_producto]])-FIND("/",Tabla2[[#This Row],[codigo_producto]]))</f>
        <v>1025400FD020</v>
      </c>
      <c r="L966" t="str">
        <f>LEFT(Tabla2[[#This Row],[codigo_producto]],FIND("/",Tabla2[[#This Row],[codigo_producto]])-1)</f>
        <v>7</v>
      </c>
      <c r="M96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67" spans="1:13" x14ac:dyDescent="0.25">
      <c r="A967" t="s">
        <v>3785</v>
      </c>
      <c r="B967" t="s">
        <v>2399</v>
      </c>
      <c r="C967" t="s">
        <v>2399</v>
      </c>
      <c r="D967">
        <v>32</v>
      </c>
      <c r="E967">
        <v>5</v>
      </c>
      <c r="F967">
        <v>9</v>
      </c>
      <c r="G967">
        <v>12</v>
      </c>
      <c r="H967" t="s">
        <v>2814</v>
      </c>
      <c r="I96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67" t="s">
        <v>972</v>
      </c>
      <c r="K967" t="str">
        <f>RIGHT(Tabla2[[#This Row],[codigo_producto]],LEN(Tabla2[[#This Row],[codigo_producto]])-FIND("/",Tabla2[[#This Row],[codigo_producto]]))</f>
        <v>1025800FD020</v>
      </c>
      <c r="L967" t="str">
        <f>LEFT(Tabla2[[#This Row],[codigo_producto]],FIND("/",Tabla2[[#This Row],[codigo_producto]])-1)</f>
        <v>7</v>
      </c>
      <c r="M96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68" spans="1:13" x14ac:dyDescent="0.25">
      <c r="A968" t="s">
        <v>3786</v>
      </c>
      <c r="B968" t="s">
        <v>1839</v>
      </c>
      <c r="C968" t="s">
        <v>1839</v>
      </c>
      <c r="D968">
        <v>32</v>
      </c>
      <c r="E968">
        <v>5</v>
      </c>
      <c r="F968">
        <v>9</v>
      </c>
      <c r="G968">
        <v>12</v>
      </c>
      <c r="H968" t="s">
        <v>2814</v>
      </c>
      <c r="I96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68" t="s">
        <v>973</v>
      </c>
      <c r="K968" t="str">
        <f>RIGHT(Tabla2[[#This Row],[codigo_producto]],LEN(Tabla2[[#This Row],[codigo_producto]])-FIND("/",Tabla2[[#This Row],[codigo_producto]]))</f>
        <v>1026080GG010</v>
      </c>
      <c r="L968" t="str">
        <f>LEFT(Tabla2[[#This Row],[codigo_producto]],FIND("/",Tabla2[[#This Row],[codigo_producto]])-1)</f>
        <v>7</v>
      </c>
      <c r="M96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69" spans="1:13" x14ac:dyDescent="0.25">
      <c r="A969" t="s">
        <v>3787</v>
      </c>
      <c r="B969" t="s">
        <v>1839</v>
      </c>
      <c r="C969" t="s">
        <v>1839</v>
      </c>
      <c r="D969">
        <v>32</v>
      </c>
      <c r="E969">
        <v>5</v>
      </c>
      <c r="F969">
        <v>9</v>
      </c>
      <c r="G969">
        <v>12</v>
      </c>
      <c r="H969" t="s">
        <v>2814</v>
      </c>
      <c r="I96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69" t="s">
        <v>974</v>
      </c>
      <c r="K969" t="str">
        <f>RIGHT(Tabla2[[#This Row],[codigo_producto]],LEN(Tabla2[[#This Row],[codigo_producto]])-FIND("/",Tabla2[[#This Row],[codigo_producto]]))</f>
        <v>1026080GH030</v>
      </c>
      <c r="L969" t="str">
        <f>LEFT(Tabla2[[#This Row],[codigo_producto]],FIND("/",Tabla2[[#This Row],[codigo_producto]])-1)</f>
        <v>7</v>
      </c>
      <c r="M96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70" spans="1:13" x14ac:dyDescent="0.25">
      <c r="A970" t="s">
        <v>3788</v>
      </c>
      <c r="B970" t="s">
        <v>1839</v>
      </c>
      <c r="C970" t="s">
        <v>1839</v>
      </c>
      <c r="D970">
        <v>32</v>
      </c>
      <c r="E970">
        <v>5</v>
      </c>
      <c r="F970">
        <v>9</v>
      </c>
      <c r="G970">
        <v>12</v>
      </c>
      <c r="H970" t="s">
        <v>2814</v>
      </c>
      <c r="I97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70" t="s">
        <v>975</v>
      </c>
      <c r="K970" t="str">
        <f>RIGHT(Tabla2[[#This Row],[codigo_producto]],LEN(Tabla2[[#This Row],[codigo_producto]])-FIND("/",Tabla2[[#This Row],[codigo_producto]]))</f>
        <v>1026080GH500</v>
      </c>
      <c r="L970" t="str">
        <f>LEFT(Tabla2[[#This Row],[codigo_producto]],FIND("/",Tabla2[[#This Row],[codigo_producto]])-1)</f>
        <v>7</v>
      </c>
      <c r="M97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71" spans="1:13" x14ac:dyDescent="0.25">
      <c r="A971" t="s">
        <v>3789</v>
      </c>
      <c r="B971" t="s">
        <v>2400</v>
      </c>
      <c r="C971" t="s">
        <v>2400</v>
      </c>
      <c r="D971">
        <v>32</v>
      </c>
      <c r="E971">
        <v>5</v>
      </c>
      <c r="F971">
        <v>9</v>
      </c>
      <c r="G971">
        <v>12</v>
      </c>
      <c r="H971" t="s">
        <v>2814</v>
      </c>
      <c r="I97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71" t="s">
        <v>976</v>
      </c>
      <c r="K971" t="str">
        <f>RIGHT(Tabla2[[#This Row],[codigo_producto]],LEN(Tabla2[[#This Row],[codigo_producto]])-FIND("/",Tabla2[[#This Row],[codigo_producto]]))</f>
        <v>1026140FD020</v>
      </c>
      <c r="L971" t="str">
        <f>LEFT(Tabla2[[#This Row],[codigo_producto]],FIND("/",Tabla2[[#This Row],[codigo_producto]])-1)</f>
        <v>7</v>
      </c>
      <c r="M97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72" spans="1:13" x14ac:dyDescent="0.25">
      <c r="A972" t="s">
        <v>3790</v>
      </c>
      <c r="B972" t="s">
        <v>2366</v>
      </c>
      <c r="C972" t="s">
        <v>2366</v>
      </c>
      <c r="D972">
        <v>32</v>
      </c>
      <c r="E972">
        <v>5</v>
      </c>
      <c r="F972">
        <v>9</v>
      </c>
      <c r="G972">
        <v>12</v>
      </c>
      <c r="H972" t="s">
        <v>2814</v>
      </c>
      <c r="I97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72" t="s">
        <v>977</v>
      </c>
      <c r="K972" t="str">
        <f>RIGHT(Tabla2[[#This Row],[codigo_producto]],LEN(Tabla2[[#This Row],[codigo_producto]])-FIND("/",Tabla2[[#This Row],[codigo_producto]]))</f>
        <v>1026150FD020</v>
      </c>
      <c r="L972" t="str">
        <f>LEFT(Tabla2[[#This Row],[codigo_producto]],FIND("/",Tabla2[[#This Row],[codigo_producto]])-1)</f>
        <v>7</v>
      </c>
      <c r="M97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73" spans="1:13" x14ac:dyDescent="0.25">
      <c r="A973" t="s">
        <v>3791</v>
      </c>
      <c r="B973" t="s">
        <v>2401</v>
      </c>
      <c r="C973" t="s">
        <v>2401</v>
      </c>
      <c r="D973">
        <v>32</v>
      </c>
      <c r="E973">
        <v>5</v>
      </c>
      <c r="F973">
        <v>9</v>
      </c>
      <c r="G973">
        <v>12</v>
      </c>
      <c r="H973" t="s">
        <v>2814</v>
      </c>
      <c r="I97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73" t="s">
        <v>978</v>
      </c>
      <c r="K973" t="str">
        <f>RIGHT(Tabla2[[#This Row],[codigo_producto]],LEN(Tabla2[[#This Row],[codigo_producto]])-FIND("/",Tabla2[[#This Row],[codigo_producto]]))</f>
        <v>1026170FE010</v>
      </c>
      <c r="L973" t="str">
        <f>LEFT(Tabla2[[#This Row],[codigo_producto]],FIND("/",Tabla2[[#This Row],[codigo_producto]])-1)</f>
        <v>7</v>
      </c>
      <c r="M97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74" spans="1:13" x14ac:dyDescent="0.25">
      <c r="A974" t="s">
        <v>3792</v>
      </c>
      <c r="B974" t="s">
        <v>2402</v>
      </c>
      <c r="C974" t="s">
        <v>2402</v>
      </c>
      <c r="D974">
        <v>32</v>
      </c>
      <c r="E974">
        <v>5</v>
      </c>
      <c r="F974">
        <v>9</v>
      </c>
      <c r="G974">
        <v>12</v>
      </c>
      <c r="H974" t="s">
        <v>2814</v>
      </c>
      <c r="I97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74" t="s">
        <v>979</v>
      </c>
      <c r="K974" t="str">
        <f>RIGHT(Tabla2[[#This Row],[codigo_producto]],LEN(Tabla2[[#This Row],[codigo_producto]])-FIND("/",Tabla2[[#This Row],[codigo_producto]]))</f>
        <v>1026190FD020</v>
      </c>
      <c r="L974" t="str">
        <f>LEFT(Tabla2[[#This Row],[codigo_producto]],FIND("/",Tabla2[[#This Row],[codigo_producto]])-1)</f>
        <v>7</v>
      </c>
      <c r="M97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75" spans="1:13" x14ac:dyDescent="0.25">
      <c r="A975" t="s">
        <v>3793</v>
      </c>
      <c r="B975" t="s">
        <v>2403</v>
      </c>
      <c r="C975" t="s">
        <v>2403</v>
      </c>
      <c r="D975">
        <v>32</v>
      </c>
      <c r="E975">
        <v>5</v>
      </c>
      <c r="F975">
        <v>9</v>
      </c>
      <c r="G975">
        <v>12</v>
      </c>
      <c r="H975" t="s">
        <v>2814</v>
      </c>
      <c r="I97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75" t="s">
        <v>980</v>
      </c>
      <c r="K975" t="str">
        <f>RIGHT(Tabla2[[#This Row],[codigo_producto]],LEN(Tabla2[[#This Row],[codigo_producto]])-FIND("/",Tabla2[[#This Row],[codigo_producto]]))</f>
        <v>1026321FD040</v>
      </c>
      <c r="L975" t="str">
        <f>LEFT(Tabla2[[#This Row],[codigo_producto]],FIND("/",Tabla2[[#This Row],[codigo_producto]])-1)</f>
        <v>7</v>
      </c>
      <c r="M97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76" spans="1:13" x14ac:dyDescent="0.25">
      <c r="A976" t="s">
        <v>3794</v>
      </c>
      <c r="B976" t="s">
        <v>2404</v>
      </c>
      <c r="C976" t="s">
        <v>2404</v>
      </c>
      <c r="D976">
        <v>32</v>
      </c>
      <c r="E976">
        <v>5</v>
      </c>
      <c r="F976">
        <v>9</v>
      </c>
      <c r="G976">
        <v>12</v>
      </c>
      <c r="H976" t="s">
        <v>2814</v>
      </c>
      <c r="I97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76" t="s">
        <v>981</v>
      </c>
      <c r="K976" t="str">
        <f>RIGHT(Tabla2[[#This Row],[codigo_producto]],LEN(Tabla2[[#This Row],[codigo_producto]])-FIND("/",Tabla2[[#This Row],[codigo_producto]]))</f>
        <v>1026322FD040</v>
      </c>
      <c r="L976" t="str">
        <f>LEFT(Tabla2[[#This Row],[codigo_producto]],FIND("/",Tabla2[[#This Row],[codigo_producto]])-1)</f>
        <v>7</v>
      </c>
      <c r="M97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77" spans="1:13" x14ac:dyDescent="0.25">
      <c r="A977" t="s">
        <v>3795</v>
      </c>
      <c r="B977" t="s">
        <v>2405</v>
      </c>
      <c r="C977" t="s">
        <v>2405</v>
      </c>
      <c r="D977">
        <v>32</v>
      </c>
      <c r="E977">
        <v>5</v>
      </c>
      <c r="F977">
        <v>9</v>
      </c>
      <c r="G977">
        <v>12</v>
      </c>
      <c r="H977" t="s">
        <v>2814</v>
      </c>
      <c r="I97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77" t="s">
        <v>982</v>
      </c>
      <c r="K977" t="str">
        <f>RIGHT(Tabla2[[#This Row],[codigo_producto]],LEN(Tabla2[[#This Row],[codigo_producto]])-FIND("/",Tabla2[[#This Row],[codigo_producto]]))</f>
        <v>1026340FD020</v>
      </c>
      <c r="L977" t="str">
        <f>LEFT(Tabla2[[#This Row],[codigo_producto]],FIND("/",Tabla2[[#This Row],[codigo_producto]])-1)</f>
        <v>7</v>
      </c>
      <c r="M97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78" spans="1:13" x14ac:dyDescent="0.25">
      <c r="A978" t="s">
        <v>3796</v>
      </c>
      <c r="B978" t="s">
        <v>2406</v>
      </c>
      <c r="C978" t="s">
        <v>2406</v>
      </c>
      <c r="D978">
        <v>32</v>
      </c>
      <c r="E978">
        <v>5</v>
      </c>
      <c r="F978">
        <v>9</v>
      </c>
      <c r="G978">
        <v>12</v>
      </c>
      <c r="H978" t="s">
        <v>2814</v>
      </c>
      <c r="I97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78" t="s">
        <v>983</v>
      </c>
      <c r="K978" t="str">
        <f>RIGHT(Tabla2[[#This Row],[codigo_producto]],LEN(Tabla2[[#This Row],[codigo_producto]])-FIND("/",Tabla2[[#This Row],[codigo_producto]]))</f>
        <v>1026621GD050</v>
      </c>
      <c r="L978" t="str">
        <f>LEFT(Tabla2[[#This Row],[codigo_producto]],FIND("/",Tabla2[[#This Row],[codigo_producto]])-1)</f>
        <v>7</v>
      </c>
      <c r="M97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79" spans="1:13" x14ac:dyDescent="0.25">
      <c r="A979" t="s">
        <v>3797</v>
      </c>
      <c r="B979" t="s">
        <v>1803</v>
      </c>
      <c r="C979" t="s">
        <v>1803</v>
      </c>
      <c r="D979">
        <v>32</v>
      </c>
      <c r="E979">
        <v>5</v>
      </c>
      <c r="F979">
        <v>9</v>
      </c>
      <c r="G979">
        <v>12</v>
      </c>
      <c r="H979" t="s">
        <v>2814</v>
      </c>
      <c r="I97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79" t="s">
        <v>984</v>
      </c>
      <c r="K979" t="str">
        <f>RIGHT(Tabla2[[#This Row],[codigo_producto]],LEN(Tabla2[[#This Row],[codigo_producto]])-FIND("/",Tabla2[[#This Row],[codigo_producto]]))</f>
        <v>1041050FD020</v>
      </c>
      <c r="L979" t="str">
        <f>LEFT(Tabla2[[#This Row],[codigo_producto]],FIND("/",Tabla2[[#This Row],[codigo_producto]])-1)</f>
        <v>7</v>
      </c>
      <c r="M97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80" spans="1:13" x14ac:dyDescent="0.25">
      <c r="A980" t="s">
        <v>3798</v>
      </c>
      <c r="B980" t="s">
        <v>2407</v>
      </c>
      <c r="C980" t="s">
        <v>2407</v>
      </c>
      <c r="D980">
        <v>32</v>
      </c>
      <c r="E980">
        <v>5</v>
      </c>
      <c r="F980">
        <v>9</v>
      </c>
      <c r="G980">
        <v>12</v>
      </c>
      <c r="H980" t="s">
        <v>2814</v>
      </c>
      <c r="I98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80" t="s">
        <v>985</v>
      </c>
      <c r="K980" t="str">
        <f>RIGHT(Tabla2[[#This Row],[codigo_producto]],LEN(Tabla2[[#This Row],[codigo_producto]])-FIND("/",Tabla2[[#This Row],[codigo_producto]]))</f>
        <v>1042200FD020</v>
      </c>
      <c r="L980" t="str">
        <f>LEFT(Tabla2[[#This Row],[codigo_producto]],FIND("/",Tabla2[[#This Row],[codigo_producto]])-1)</f>
        <v>7</v>
      </c>
      <c r="M98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81" spans="1:13" x14ac:dyDescent="0.25">
      <c r="A981" t="s">
        <v>3799</v>
      </c>
      <c r="B981" t="s">
        <v>2408</v>
      </c>
      <c r="C981" t="s">
        <v>2408</v>
      </c>
      <c r="D981">
        <v>32</v>
      </c>
      <c r="E981">
        <v>5</v>
      </c>
      <c r="F981">
        <v>9</v>
      </c>
      <c r="G981">
        <v>12</v>
      </c>
      <c r="H981" t="s">
        <v>2814</v>
      </c>
      <c r="I98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81" t="s">
        <v>986</v>
      </c>
      <c r="K981" t="str">
        <f>RIGHT(Tabla2[[#This Row],[codigo_producto]],LEN(Tabla2[[#This Row],[codigo_producto]])-FIND("/",Tabla2[[#This Row],[codigo_producto]]))</f>
        <v>1103010P3010</v>
      </c>
      <c r="L981" t="str">
        <f>LEFT(Tabla2[[#This Row],[codigo_producto]],FIND("/",Tabla2[[#This Row],[codigo_producto]])-1)</f>
        <v>7</v>
      </c>
      <c r="M98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82" spans="1:13" x14ac:dyDescent="0.25">
      <c r="A982" t="s">
        <v>3800</v>
      </c>
      <c r="B982" t="s">
        <v>2409</v>
      </c>
      <c r="C982" t="s">
        <v>2409</v>
      </c>
      <c r="D982">
        <v>32</v>
      </c>
      <c r="E982">
        <v>5</v>
      </c>
      <c r="F982">
        <v>9</v>
      </c>
      <c r="G982">
        <v>12</v>
      </c>
      <c r="H982" t="s">
        <v>2814</v>
      </c>
      <c r="I98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82" t="s">
        <v>987</v>
      </c>
      <c r="K982" t="str">
        <f>RIGHT(Tabla2[[#This Row],[codigo_producto]],LEN(Tabla2[[#This Row],[codigo_producto]])-FIND("/",Tabla2[[#This Row],[codigo_producto]]))</f>
        <v>1105010W5030</v>
      </c>
      <c r="L982" t="str">
        <f>LEFT(Tabla2[[#This Row],[codigo_producto]],FIND("/",Tabla2[[#This Row],[codigo_producto]])-1)</f>
        <v>7</v>
      </c>
      <c r="M98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83" spans="1:13" x14ac:dyDescent="0.25">
      <c r="A983" t="s">
        <v>3801</v>
      </c>
      <c r="B983" t="s">
        <v>1827</v>
      </c>
      <c r="C983" t="s">
        <v>1827</v>
      </c>
      <c r="D983">
        <v>32</v>
      </c>
      <c r="E983">
        <v>5</v>
      </c>
      <c r="F983">
        <v>9</v>
      </c>
      <c r="G983">
        <v>12</v>
      </c>
      <c r="H983" t="s">
        <v>2814</v>
      </c>
      <c r="I98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83" t="s">
        <v>988</v>
      </c>
      <c r="K983" t="str">
        <f>RIGHT(Tabla2[[#This Row],[codigo_producto]],LEN(Tabla2[[#This Row],[codigo_producto]])-FIND("/",Tabla2[[#This Row],[codigo_producto]]))</f>
        <v>1105011R0070</v>
      </c>
      <c r="L983" t="str">
        <f>LEFT(Tabla2[[#This Row],[codigo_producto]],FIND("/",Tabla2[[#This Row],[codigo_producto]])-1)</f>
        <v>7</v>
      </c>
      <c r="M98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84" spans="1:13" x14ac:dyDescent="0.25">
      <c r="A984" t="s">
        <v>3802</v>
      </c>
      <c r="B984" t="s">
        <v>1827</v>
      </c>
      <c r="C984" t="s">
        <v>1827</v>
      </c>
      <c r="D984">
        <v>32</v>
      </c>
      <c r="E984">
        <v>5</v>
      </c>
      <c r="F984">
        <v>9</v>
      </c>
      <c r="G984">
        <v>12</v>
      </c>
      <c r="H984" t="s">
        <v>2814</v>
      </c>
      <c r="I98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84" t="s">
        <v>989</v>
      </c>
      <c r="K984" t="str">
        <f>RIGHT(Tabla2[[#This Row],[codigo_producto]],LEN(Tabla2[[#This Row],[codigo_producto]])-FIND("/",Tabla2[[#This Row],[codigo_producto]]))</f>
        <v>1105013P3030</v>
      </c>
      <c r="L984" t="str">
        <f>LEFT(Tabla2[[#This Row],[codigo_producto]],FIND("/",Tabla2[[#This Row],[codigo_producto]])-1)</f>
        <v>7</v>
      </c>
      <c r="M98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85" spans="1:13" x14ac:dyDescent="0.25">
      <c r="A985" t="s">
        <v>3803</v>
      </c>
      <c r="B985" t="s">
        <v>2410</v>
      </c>
      <c r="C985" t="s">
        <v>2410</v>
      </c>
      <c r="D985">
        <v>32</v>
      </c>
      <c r="E985">
        <v>5</v>
      </c>
      <c r="F985">
        <v>9</v>
      </c>
      <c r="G985">
        <v>12</v>
      </c>
      <c r="H985" t="s">
        <v>2814</v>
      </c>
      <c r="I98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85" t="s">
        <v>990</v>
      </c>
      <c r="K985" t="str">
        <f>RIGHT(Tabla2[[#This Row],[codigo_producto]],LEN(Tabla2[[#This Row],[codigo_producto]])-FIND("/",Tabla2[[#This Row],[codigo_producto]]))</f>
        <v>1105014P3012</v>
      </c>
      <c r="L985" t="str">
        <f>LEFT(Tabla2[[#This Row],[codigo_producto]],FIND("/",Tabla2[[#This Row],[codigo_producto]])-1)</f>
        <v>7</v>
      </c>
      <c r="M98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86" spans="1:13" x14ac:dyDescent="0.25">
      <c r="A986" t="s">
        <v>3804</v>
      </c>
      <c r="B986" t="s">
        <v>2411</v>
      </c>
      <c r="C986" t="s">
        <v>2411</v>
      </c>
      <c r="D986">
        <v>32</v>
      </c>
      <c r="E986">
        <v>5</v>
      </c>
      <c r="F986">
        <v>9</v>
      </c>
      <c r="G986">
        <v>12</v>
      </c>
      <c r="H986" t="s">
        <v>2814</v>
      </c>
      <c r="I98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86" t="s">
        <v>991</v>
      </c>
      <c r="K986" t="str">
        <f>RIGHT(Tabla2[[#This Row],[codigo_producto]],LEN(Tabla2[[#This Row],[codigo_producto]])-FIND("/",Tabla2[[#This Row],[codigo_producto]]))</f>
        <v>1105014P31F0</v>
      </c>
      <c r="L986" t="str">
        <f>LEFT(Tabla2[[#This Row],[codigo_producto]],FIND("/",Tabla2[[#This Row],[codigo_producto]])-1)</f>
        <v>7</v>
      </c>
      <c r="M98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87" spans="1:13" x14ac:dyDescent="0.25">
      <c r="A987" t="s">
        <v>3805</v>
      </c>
      <c r="B987" t="s">
        <v>2412</v>
      </c>
      <c r="C987" t="s">
        <v>2412</v>
      </c>
      <c r="D987">
        <v>32</v>
      </c>
      <c r="E987">
        <v>5</v>
      </c>
      <c r="F987">
        <v>9</v>
      </c>
      <c r="G987">
        <v>12</v>
      </c>
      <c r="H987" t="s">
        <v>2814</v>
      </c>
      <c r="I98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87" t="s">
        <v>992</v>
      </c>
      <c r="K987" t="str">
        <f>RIGHT(Tabla2[[#This Row],[codigo_producto]],LEN(Tabla2[[#This Row],[codigo_producto]])-FIND("/",Tabla2[[#This Row],[codigo_producto]]))</f>
        <v>1105020DX150</v>
      </c>
      <c r="L987" t="str">
        <f>LEFT(Tabla2[[#This Row],[codigo_producto]],FIND("/",Tabla2[[#This Row],[codigo_producto]])-1)</f>
        <v>7</v>
      </c>
      <c r="M98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88" spans="1:13" x14ac:dyDescent="0.25">
      <c r="A988" t="s">
        <v>3806</v>
      </c>
      <c r="B988" t="s">
        <v>2413</v>
      </c>
      <c r="C988" t="s">
        <v>2413</v>
      </c>
      <c r="D988">
        <v>32</v>
      </c>
      <c r="E988">
        <v>5</v>
      </c>
      <c r="F988">
        <v>9</v>
      </c>
      <c r="G988">
        <v>12</v>
      </c>
      <c r="H988" t="s">
        <v>2814</v>
      </c>
      <c r="I98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88" t="s">
        <v>993</v>
      </c>
      <c r="K988" t="str">
        <f>RIGHT(Tabla2[[#This Row],[codigo_producto]],LEN(Tabla2[[#This Row],[codigo_producto]])-FIND("/",Tabla2[[#This Row],[codigo_producto]]))</f>
        <v>1105020LE058</v>
      </c>
      <c r="L988" t="str">
        <f>LEFT(Tabla2[[#This Row],[codigo_producto]],FIND("/",Tabla2[[#This Row],[codigo_producto]])-1)</f>
        <v>7</v>
      </c>
      <c r="M98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89" spans="1:13" x14ac:dyDescent="0.25">
      <c r="A989" t="s">
        <v>3807</v>
      </c>
      <c r="B989" t="s">
        <v>1827</v>
      </c>
      <c r="C989" t="s">
        <v>1827</v>
      </c>
      <c r="D989">
        <v>32</v>
      </c>
      <c r="E989">
        <v>5</v>
      </c>
      <c r="F989">
        <v>9</v>
      </c>
      <c r="G989">
        <v>12</v>
      </c>
      <c r="H989" t="s">
        <v>2814</v>
      </c>
      <c r="I98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89" t="s">
        <v>994</v>
      </c>
      <c r="K989" t="str">
        <f>RIGHT(Tabla2[[#This Row],[codigo_producto]],LEN(Tabla2[[#This Row],[codigo_producto]])-FIND("/",Tabla2[[#This Row],[codigo_producto]]))</f>
        <v>1105021R0070</v>
      </c>
      <c r="L989" t="str">
        <f>LEFT(Tabla2[[#This Row],[codigo_producto]],FIND("/",Tabla2[[#This Row],[codigo_producto]])-1)</f>
        <v>7</v>
      </c>
      <c r="M98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90" spans="1:13" x14ac:dyDescent="0.25">
      <c r="A990" t="s">
        <v>3808</v>
      </c>
      <c r="B990" t="s">
        <v>1827</v>
      </c>
      <c r="C990" t="s">
        <v>1827</v>
      </c>
      <c r="D990">
        <v>32</v>
      </c>
      <c r="E990">
        <v>5</v>
      </c>
      <c r="F990">
        <v>9</v>
      </c>
      <c r="G990">
        <v>12</v>
      </c>
      <c r="H990" t="s">
        <v>2814</v>
      </c>
      <c r="I99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90" t="s">
        <v>995</v>
      </c>
      <c r="K990" t="str">
        <f>RIGHT(Tabla2[[#This Row],[codigo_producto]],LEN(Tabla2[[#This Row],[codigo_producto]])-FIND("/",Tabla2[[#This Row],[codigo_producto]]))</f>
        <v>1105022P3012</v>
      </c>
      <c r="L990" t="str">
        <f>LEFT(Tabla2[[#This Row],[codigo_producto]],FIND("/",Tabla2[[#This Row],[codigo_producto]])-1)</f>
        <v>7</v>
      </c>
      <c r="M99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91" spans="1:13" x14ac:dyDescent="0.25">
      <c r="A991" t="s">
        <v>3809</v>
      </c>
      <c r="B991" t="s">
        <v>2414</v>
      </c>
      <c r="C991" t="s">
        <v>2414</v>
      </c>
      <c r="D991">
        <v>32</v>
      </c>
      <c r="E991">
        <v>5</v>
      </c>
      <c r="F991">
        <v>9</v>
      </c>
      <c r="G991">
        <v>12</v>
      </c>
      <c r="H991" t="s">
        <v>2814</v>
      </c>
      <c r="I99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91" t="s">
        <v>996</v>
      </c>
      <c r="K991" t="str">
        <f>RIGHT(Tabla2[[#This Row],[codigo_producto]],LEN(Tabla2[[#This Row],[codigo_producto]])-FIND("/",Tabla2[[#This Row],[codigo_producto]]))</f>
        <v>1105023P3012</v>
      </c>
      <c r="L991" t="str">
        <f>LEFT(Tabla2[[#This Row],[codigo_producto]],FIND("/",Tabla2[[#This Row],[codigo_producto]])-1)</f>
        <v>7</v>
      </c>
      <c r="M99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92" spans="1:13" x14ac:dyDescent="0.25">
      <c r="A992" t="s">
        <v>3810</v>
      </c>
      <c r="B992" t="s">
        <v>2146</v>
      </c>
      <c r="C992" t="s">
        <v>2146</v>
      </c>
      <c r="D992">
        <v>32</v>
      </c>
      <c r="E992">
        <v>5</v>
      </c>
      <c r="F992">
        <v>9</v>
      </c>
      <c r="G992">
        <v>12</v>
      </c>
      <c r="H992" t="s">
        <v>2814</v>
      </c>
      <c r="I99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92" t="s">
        <v>997</v>
      </c>
      <c r="K992" t="str">
        <f>RIGHT(Tabla2[[#This Row],[codigo_producto]],LEN(Tabla2[[#This Row],[codigo_producto]])-FIND("/",Tabla2[[#This Row],[codigo_producto]]))</f>
        <v>1105100U1010</v>
      </c>
      <c r="L992" t="str">
        <f>LEFT(Tabla2[[#This Row],[codigo_producto]],FIND("/",Tabla2[[#This Row],[codigo_producto]])-1)</f>
        <v>7</v>
      </c>
      <c r="M99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93" spans="1:13" x14ac:dyDescent="0.25">
      <c r="A993" t="s">
        <v>3811</v>
      </c>
      <c r="B993" t="s">
        <v>2146</v>
      </c>
      <c r="C993" t="s">
        <v>2146</v>
      </c>
      <c r="D993">
        <v>32</v>
      </c>
      <c r="E993">
        <v>5</v>
      </c>
      <c r="F993">
        <v>9</v>
      </c>
      <c r="G993">
        <v>12</v>
      </c>
      <c r="H993" t="s">
        <v>2814</v>
      </c>
      <c r="I99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93" t="s">
        <v>998</v>
      </c>
      <c r="K993" t="str">
        <f>RIGHT(Tabla2[[#This Row],[codigo_producto]],LEN(Tabla2[[#This Row],[codigo_producto]])-FIND("/",Tabla2[[#This Row],[codigo_producto]]))</f>
        <v>1105100U2010</v>
      </c>
      <c r="L993" t="str">
        <f>LEFT(Tabla2[[#This Row],[codigo_producto]],FIND("/",Tabla2[[#This Row],[codigo_producto]])-1)</f>
        <v>7</v>
      </c>
      <c r="M99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94" spans="1:13" x14ac:dyDescent="0.25">
      <c r="A994" t="s">
        <v>3812</v>
      </c>
      <c r="B994" t="s">
        <v>1827</v>
      </c>
      <c r="C994" t="s">
        <v>1827</v>
      </c>
      <c r="D994">
        <v>32</v>
      </c>
      <c r="E994">
        <v>5</v>
      </c>
      <c r="F994">
        <v>9</v>
      </c>
      <c r="G994">
        <v>12</v>
      </c>
      <c r="H994" t="s">
        <v>2814</v>
      </c>
      <c r="I99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94" t="s">
        <v>999</v>
      </c>
      <c r="K994" t="str">
        <f>RIGHT(Tabla2[[#This Row],[codigo_producto]],LEN(Tabla2[[#This Row],[codigo_producto]])-FIND("/",Tabla2[[#This Row],[codigo_producto]]))</f>
        <v>1105100U8010</v>
      </c>
      <c r="L994" t="str">
        <f>LEFT(Tabla2[[#This Row],[codigo_producto]],FIND("/",Tabla2[[#This Row],[codigo_producto]])-1)</f>
        <v>7</v>
      </c>
      <c r="M99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95" spans="1:13" x14ac:dyDescent="0.25">
      <c r="A995" t="s">
        <v>3813</v>
      </c>
      <c r="B995" t="s">
        <v>1827</v>
      </c>
      <c r="C995" t="s">
        <v>1827</v>
      </c>
      <c r="D995">
        <v>32</v>
      </c>
      <c r="E995">
        <v>5</v>
      </c>
      <c r="F995">
        <v>9</v>
      </c>
      <c r="G995">
        <v>12</v>
      </c>
      <c r="H995" t="s">
        <v>2814</v>
      </c>
      <c r="I99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95" t="s">
        <v>1000</v>
      </c>
      <c r="K995" t="str">
        <f>RIGHT(Tabla2[[#This Row],[codigo_producto]],LEN(Tabla2[[#This Row],[codigo_producto]])-FIND("/",Tabla2[[#This Row],[codigo_producto]]))</f>
        <v>1105100U8050</v>
      </c>
      <c r="L995" t="str">
        <f>LEFT(Tabla2[[#This Row],[codigo_producto]],FIND("/",Tabla2[[#This Row],[codigo_producto]])-1)</f>
        <v>7</v>
      </c>
      <c r="M99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96" spans="1:13" x14ac:dyDescent="0.25">
      <c r="A996" t="s">
        <v>3814</v>
      </c>
      <c r="B996" t="s">
        <v>1827</v>
      </c>
      <c r="C996" t="s">
        <v>1827</v>
      </c>
      <c r="D996">
        <v>32</v>
      </c>
      <c r="E996">
        <v>5</v>
      </c>
      <c r="F996">
        <v>9</v>
      </c>
      <c r="G996">
        <v>12</v>
      </c>
      <c r="H996" t="s">
        <v>2814</v>
      </c>
      <c r="I99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96" t="s">
        <v>1001</v>
      </c>
      <c r="K996" t="str">
        <f>RIGHT(Tabla2[[#This Row],[codigo_producto]],LEN(Tabla2[[#This Row],[codigo_producto]])-FIND("/",Tabla2[[#This Row],[codigo_producto]]))</f>
        <v>1105202V6530</v>
      </c>
      <c r="L996" t="str">
        <f>LEFT(Tabla2[[#This Row],[codigo_producto]],FIND("/",Tabla2[[#This Row],[codigo_producto]])-1)</f>
        <v>7</v>
      </c>
      <c r="M99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97" spans="1:13" x14ac:dyDescent="0.25">
      <c r="A997" t="s">
        <v>3815</v>
      </c>
      <c r="B997" t="s">
        <v>2415</v>
      </c>
      <c r="C997" t="s">
        <v>2415</v>
      </c>
      <c r="D997">
        <v>32</v>
      </c>
      <c r="E997">
        <v>5</v>
      </c>
      <c r="F997">
        <v>9</v>
      </c>
      <c r="G997">
        <v>12</v>
      </c>
      <c r="H997" t="s">
        <v>2814</v>
      </c>
      <c r="I99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97" t="s">
        <v>1002</v>
      </c>
      <c r="K997" t="str">
        <f>RIGHT(Tabla2[[#This Row],[codigo_producto]],LEN(Tabla2[[#This Row],[codigo_producto]])-FIND("/",Tabla2[[#This Row],[codigo_producto]]))</f>
        <v>1109020P3060</v>
      </c>
      <c r="L997" t="str">
        <f>LEFT(Tabla2[[#This Row],[codigo_producto]],FIND("/",Tabla2[[#This Row],[codigo_producto]])-1)</f>
        <v>7</v>
      </c>
      <c r="M99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98" spans="1:13" x14ac:dyDescent="0.25">
      <c r="A998" t="s">
        <v>3816</v>
      </c>
      <c r="B998" t="s">
        <v>1714</v>
      </c>
      <c r="C998" t="s">
        <v>1714</v>
      </c>
      <c r="D998">
        <v>32</v>
      </c>
      <c r="E998">
        <v>5</v>
      </c>
      <c r="F998">
        <v>9</v>
      </c>
      <c r="G998">
        <v>12</v>
      </c>
      <c r="H998" t="s">
        <v>2814</v>
      </c>
      <c r="I99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98" t="s">
        <v>1003</v>
      </c>
      <c r="K998" t="str">
        <f>RIGHT(Tabla2[[#This Row],[codigo_producto]],LEN(Tabla2[[#This Row],[codigo_producto]])-FIND("/",Tabla2[[#This Row],[codigo_producto]]))</f>
        <v>1109120U2010</v>
      </c>
      <c r="L998" t="str">
        <f>LEFT(Tabla2[[#This Row],[codigo_producto]],FIND("/",Tabla2[[#This Row],[codigo_producto]])-1)</f>
        <v>7</v>
      </c>
      <c r="M99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99" spans="1:13" x14ac:dyDescent="0.25">
      <c r="A999" t="s">
        <v>3817</v>
      </c>
      <c r="B999" t="s">
        <v>1715</v>
      </c>
      <c r="C999" t="s">
        <v>1715</v>
      </c>
      <c r="D999">
        <v>32</v>
      </c>
      <c r="E999">
        <v>5</v>
      </c>
      <c r="F999">
        <v>9</v>
      </c>
      <c r="G999">
        <v>12</v>
      </c>
      <c r="H999" t="s">
        <v>2814</v>
      </c>
      <c r="I99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99" t="s">
        <v>1004</v>
      </c>
      <c r="K999" t="str">
        <f>RIGHT(Tabla2[[#This Row],[codigo_producto]],LEN(Tabla2[[#This Row],[codigo_producto]])-FIND("/",Tabla2[[#This Row],[codigo_producto]]))</f>
        <v>1109120U2210</v>
      </c>
      <c r="L999" t="str">
        <f>LEFT(Tabla2[[#This Row],[codigo_producto]],FIND("/",Tabla2[[#This Row],[codigo_producto]])-1)</f>
        <v>7</v>
      </c>
      <c r="M99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00" spans="1:13" x14ac:dyDescent="0.25">
      <c r="A1000" t="s">
        <v>3818</v>
      </c>
      <c r="B1000" t="s">
        <v>1715</v>
      </c>
      <c r="C1000" t="s">
        <v>1715</v>
      </c>
      <c r="D1000">
        <v>32</v>
      </c>
      <c r="E1000">
        <v>5</v>
      </c>
      <c r="F1000">
        <v>9</v>
      </c>
      <c r="G1000">
        <v>12</v>
      </c>
      <c r="H1000" t="s">
        <v>2814</v>
      </c>
      <c r="I100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00" t="s">
        <v>1005</v>
      </c>
      <c r="K1000" t="str">
        <f>RIGHT(Tabla2[[#This Row],[codigo_producto]],LEN(Tabla2[[#This Row],[codigo_producto]])-FIND("/",Tabla2[[#This Row],[codigo_producto]]))</f>
        <v>1109120U8710</v>
      </c>
      <c r="L1000" t="str">
        <f>LEFT(Tabla2[[#This Row],[codigo_producto]],FIND("/",Tabla2[[#This Row],[codigo_producto]])-1)</f>
        <v>7</v>
      </c>
      <c r="M100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01" spans="1:13" x14ac:dyDescent="0.25">
      <c r="A1001" t="s">
        <v>3819</v>
      </c>
      <c r="B1001" t="s">
        <v>1715</v>
      </c>
      <c r="C1001" t="s">
        <v>1715</v>
      </c>
      <c r="D1001">
        <v>32</v>
      </c>
      <c r="E1001">
        <v>5</v>
      </c>
      <c r="F1001">
        <v>9</v>
      </c>
      <c r="G1001">
        <v>12</v>
      </c>
      <c r="H1001" t="s">
        <v>2814</v>
      </c>
      <c r="I100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01" t="s">
        <v>1006</v>
      </c>
      <c r="K1001" t="str">
        <f>RIGHT(Tabla2[[#This Row],[codigo_producto]],LEN(Tabla2[[#This Row],[codigo_producto]])-FIND("/",Tabla2[[#This Row],[codigo_producto]]))</f>
        <v>1109130P3030</v>
      </c>
      <c r="L1001" t="str">
        <f>LEFT(Tabla2[[#This Row],[codigo_producto]],FIND("/",Tabla2[[#This Row],[codigo_producto]])-1)</f>
        <v>7</v>
      </c>
      <c r="M100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02" spans="1:13" x14ac:dyDescent="0.25">
      <c r="A1002" t="s">
        <v>3820</v>
      </c>
      <c r="B1002" t="s">
        <v>1715</v>
      </c>
      <c r="C1002" t="s">
        <v>1715</v>
      </c>
      <c r="D1002">
        <v>32</v>
      </c>
      <c r="E1002">
        <v>5</v>
      </c>
      <c r="F1002">
        <v>9</v>
      </c>
      <c r="G1002">
        <v>12</v>
      </c>
      <c r="H1002" t="s">
        <v>2814</v>
      </c>
      <c r="I100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02" t="s">
        <v>1007</v>
      </c>
      <c r="K1002" t="str">
        <f>RIGHT(Tabla2[[#This Row],[codigo_producto]],LEN(Tabla2[[#This Row],[codigo_producto]])-FIND("/",Tabla2[[#This Row],[codigo_producto]]))</f>
        <v>1109130P3040</v>
      </c>
      <c r="L1002" t="str">
        <f>LEFT(Tabla2[[#This Row],[codigo_producto]],FIND("/",Tabla2[[#This Row],[codigo_producto]])-1)</f>
        <v>7</v>
      </c>
      <c r="M100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03" spans="1:13" x14ac:dyDescent="0.25">
      <c r="A1003" t="s">
        <v>3821</v>
      </c>
      <c r="B1003" t="s">
        <v>1715</v>
      </c>
      <c r="C1003" t="s">
        <v>1715</v>
      </c>
      <c r="D1003">
        <v>32</v>
      </c>
      <c r="E1003">
        <v>5</v>
      </c>
      <c r="F1003">
        <v>9</v>
      </c>
      <c r="G1003">
        <v>12</v>
      </c>
      <c r="H1003" t="s">
        <v>2814</v>
      </c>
      <c r="I100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03" t="s">
        <v>1008</v>
      </c>
      <c r="K1003" t="str">
        <f>RIGHT(Tabla2[[#This Row],[codigo_producto]],LEN(Tabla2[[#This Row],[codigo_producto]])-FIND("/",Tabla2[[#This Row],[codigo_producto]]))</f>
        <v>1109130P33H2</v>
      </c>
      <c r="L1003" t="str">
        <f>LEFT(Tabla2[[#This Row],[codigo_producto]],FIND("/",Tabla2[[#This Row],[codigo_producto]])-1)</f>
        <v>7</v>
      </c>
      <c r="M100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04" spans="1:13" x14ac:dyDescent="0.25">
      <c r="A1004" t="s">
        <v>3822</v>
      </c>
      <c r="B1004" t="s">
        <v>1715</v>
      </c>
      <c r="C1004" t="s">
        <v>1715</v>
      </c>
      <c r="D1004">
        <v>32</v>
      </c>
      <c r="E1004">
        <v>5</v>
      </c>
      <c r="F1004">
        <v>9</v>
      </c>
      <c r="G1004">
        <v>12</v>
      </c>
      <c r="H1004" t="s">
        <v>2814</v>
      </c>
      <c r="I100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04" t="s">
        <v>1009</v>
      </c>
      <c r="K1004" t="str">
        <f>RIGHT(Tabla2[[#This Row],[codigo_producto]],LEN(Tabla2[[#This Row],[codigo_producto]])-FIND("/",Tabla2[[#This Row],[codigo_producto]]))</f>
        <v>1109130S5500</v>
      </c>
      <c r="L1004" t="str">
        <f>LEFT(Tabla2[[#This Row],[codigo_producto]],FIND("/",Tabla2[[#This Row],[codigo_producto]])-1)</f>
        <v>7</v>
      </c>
      <c r="M100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05" spans="1:13" x14ac:dyDescent="0.25">
      <c r="A1005" t="s">
        <v>3823</v>
      </c>
      <c r="B1005" t="s">
        <v>1714</v>
      </c>
      <c r="C1005" t="s">
        <v>1714</v>
      </c>
      <c r="D1005">
        <v>32</v>
      </c>
      <c r="E1005">
        <v>5</v>
      </c>
      <c r="F1005">
        <v>9</v>
      </c>
      <c r="G1005">
        <v>12</v>
      </c>
      <c r="H1005" t="s">
        <v>2814</v>
      </c>
      <c r="I100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05" t="s">
        <v>1010</v>
      </c>
      <c r="K1005" t="str">
        <f>RIGHT(Tabla2[[#This Row],[codigo_producto]],LEN(Tabla2[[#This Row],[codigo_producto]])-FIND("/",Tabla2[[#This Row],[codigo_producto]]))</f>
        <v>1109130U1510</v>
      </c>
      <c r="L1005" t="str">
        <f>LEFT(Tabla2[[#This Row],[codigo_producto]],FIND("/",Tabla2[[#This Row],[codigo_producto]])-1)</f>
        <v>7</v>
      </c>
      <c r="M100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06" spans="1:13" x14ac:dyDescent="0.25">
      <c r="A1006" t="s">
        <v>3824</v>
      </c>
      <c r="B1006" t="s">
        <v>1715</v>
      </c>
      <c r="C1006" t="s">
        <v>1715</v>
      </c>
      <c r="D1006">
        <v>32</v>
      </c>
      <c r="E1006">
        <v>5</v>
      </c>
      <c r="F1006">
        <v>9</v>
      </c>
      <c r="G1006">
        <v>12</v>
      </c>
      <c r="H1006" t="s">
        <v>2814</v>
      </c>
      <c r="I100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06" t="s">
        <v>1011</v>
      </c>
      <c r="K1006" t="str">
        <f>RIGHT(Tabla2[[#This Row],[codigo_producto]],LEN(Tabla2[[#This Row],[codigo_producto]])-FIND("/",Tabla2[[#This Row],[codigo_producto]]))</f>
        <v>1109130U2400</v>
      </c>
      <c r="L1006" t="str">
        <f>LEFT(Tabla2[[#This Row],[codigo_producto]],FIND("/",Tabla2[[#This Row],[codigo_producto]])-1)</f>
        <v>7</v>
      </c>
      <c r="M100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07" spans="1:13" x14ac:dyDescent="0.25">
      <c r="A1007" t="s">
        <v>3825</v>
      </c>
      <c r="B1007" t="s">
        <v>1715</v>
      </c>
      <c r="C1007" t="s">
        <v>1715</v>
      </c>
      <c r="D1007">
        <v>32</v>
      </c>
      <c r="E1007">
        <v>5</v>
      </c>
      <c r="F1007">
        <v>9</v>
      </c>
      <c r="G1007">
        <v>12</v>
      </c>
      <c r="H1007" t="s">
        <v>2814</v>
      </c>
      <c r="I100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07" t="s">
        <v>1012</v>
      </c>
      <c r="K1007" t="str">
        <f>RIGHT(Tabla2[[#This Row],[codigo_producto]],LEN(Tabla2[[#This Row],[codigo_producto]])-FIND("/",Tabla2[[#This Row],[codigo_producto]]))</f>
        <v>1109130U9020</v>
      </c>
      <c r="L1007" t="str">
        <f>LEFT(Tabla2[[#This Row],[codigo_producto]],FIND("/",Tabla2[[#This Row],[codigo_producto]])-1)</f>
        <v>7</v>
      </c>
      <c r="M100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08" spans="1:13" x14ac:dyDescent="0.25">
      <c r="A1008" t="s">
        <v>3826</v>
      </c>
      <c r="B1008" t="s">
        <v>1715</v>
      </c>
      <c r="C1008" t="s">
        <v>1715</v>
      </c>
      <c r="D1008">
        <v>32</v>
      </c>
      <c r="E1008">
        <v>5</v>
      </c>
      <c r="F1008">
        <v>9</v>
      </c>
      <c r="G1008">
        <v>12</v>
      </c>
      <c r="H1008" t="s">
        <v>2814</v>
      </c>
      <c r="I100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08" t="s">
        <v>1013</v>
      </c>
      <c r="K1008" t="str">
        <f>RIGHT(Tabla2[[#This Row],[codigo_producto]],LEN(Tabla2[[#This Row],[codigo_producto]])-FIND("/",Tabla2[[#This Row],[codigo_producto]]))</f>
        <v>1109130V5070</v>
      </c>
      <c r="L1008" t="str">
        <f>LEFT(Tabla2[[#This Row],[codigo_producto]],FIND("/",Tabla2[[#This Row],[codigo_producto]])-1)</f>
        <v>7</v>
      </c>
      <c r="M100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09" spans="1:13" x14ac:dyDescent="0.25">
      <c r="A1009" t="s">
        <v>3827</v>
      </c>
      <c r="B1009" t="s">
        <v>1714</v>
      </c>
      <c r="C1009" t="s">
        <v>1714</v>
      </c>
      <c r="D1009">
        <v>32</v>
      </c>
      <c r="E1009">
        <v>5</v>
      </c>
      <c r="F1009">
        <v>9</v>
      </c>
      <c r="G1009">
        <v>12</v>
      </c>
      <c r="H1009" t="s">
        <v>2814</v>
      </c>
      <c r="I100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09" t="s">
        <v>1014</v>
      </c>
      <c r="K1009" t="str">
        <f>RIGHT(Tabla2[[#This Row],[codigo_producto]],LEN(Tabla2[[#This Row],[codigo_producto]])-FIND("/",Tabla2[[#This Row],[codigo_producto]]))</f>
        <v>1109130V6500</v>
      </c>
      <c r="L1009" t="str">
        <f>LEFT(Tabla2[[#This Row],[codigo_producto]],FIND("/",Tabla2[[#This Row],[codigo_producto]])-1)</f>
        <v>7</v>
      </c>
      <c r="M100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10" spans="1:13" x14ac:dyDescent="0.25">
      <c r="A1010" t="s">
        <v>3828</v>
      </c>
      <c r="B1010" t="s">
        <v>2416</v>
      </c>
      <c r="C1010" t="s">
        <v>2416</v>
      </c>
      <c r="D1010">
        <v>32</v>
      </c>
      <c r="E1010">
        <v>5</v>
      </c>
      <c r="F1010">
        <v>9</v>
      </c>
      <c r="G1010">
        <v>12</v>
      </c>
      <c r="H1010" t="s">
        <v>2814</v>
      </c>
      <c r="I101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10" t="s">
        <v>1015</v>
      </c>
      <c r="K1010" t="str">
        <f>RIGHT(Tabla2[[#This Row],[codigo_producto]],LEN(Tabla2[[#This Row],[codigo_producto]])-FIND("/",Tabla2[[#This Row],[codigo_producto]]))</f>
        <v>1200230U8510</v>
      </c>
      <c r="L1010" t="str">
        <f>LEFT(Tabla2[[#This Row],[codigo_producto]],FIND("/",Tabla2[[#This Row],[codigo_producto]])-1)</f>
        <v>7</v>
      </c>
      <c r="M101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11" spans="1:13" x14ac:dyDescent="0.25">
      <c r="A1011" t="s">
        <v>3829</v>
      </c>
      <c r="B1011" t="s">
        <v>2417</v>
      </c>
      <c r="C1011" t="s">
        <v>2417</v>
      </c>
      <c r="D1011">
        <v>32</v>
      </c>
      <c r="E1011">
        <v>5</v>
      </c>
      <c r="F1011">
        <v>9</v>
      </c>
      <c r="G1011">
        <v>12</v>
      </c>
      <c r="H1011" t="s">
        <v>2814</v>
      </c>
      <c r="I101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11" t="s">
        <v>1016</v>
      </c>
      <c r="K1011" t="str">
        <f>RIGHT(Tabla2[[#This Row],[codigo_producto]],LEN(Tabla2[[#This Row],[codigo_producto]])-FIND("/",Tabla2[[#This Row],[codigo_producto]]))</f>
        <v>1200240U8510</v>
      </c>
      <c r="L1011" t="str">
        <f>LEFT(Tabla2[[#This Row],[codigo_producto]],FIND("/",Tabla2[[#This Row],[codigo_producto]])-1)</f>
        <v>7</v>
      </c>
      <c r="M101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12" spans="1:13" x14ac:dyDescent="0.25">
      <c r="A1012" t="s">
        <v>3830</v>
      </c>
      <c r="B1012" t="s">
        <v>2418</v>
      </c>
      <c r="C1012" t="s">
        <v>2418</v>
      </c>
      <c r="D1012">
        <v>32</v>
      </c>
      <c r="E1012">
        <v>5</v>
      </c>
      <c r="F1012">
        <v>9</v>
      </c>
      <c r="G1012">
        <v>12</v>
      </c>
      <c r="H1012" t="s">
        <v>2814</v>
      </c>
      <c r="I101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12" t="s">
        <v>1017</v>
      </c>
      <c r="K1012" t="str">
        <f>RIGHT(Tabla2[[#This Row],[codigo_producto]],LEN(Tabla2[[#This Row],[codigo_producto]])-FIND("/",Tabla2[[#This Row],[codigo_producto]]))</f>
        <v>1205231P3030</v>
      </c>
      <c r="L1012" t="str">
        <f>LEFT(Tabla2[[#This Row],[codigo_producto]],FIND("/",Tabla2[[#This Row],[codigo_producto]])-1)</f>
        <v>7</v>
      </c>
      <c r="M101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13" spans="1:13" x14ac:dyDescent="0.25">
      <c r="A1013" t="s">
        <v>3831</v>
      </c>
      <c r="B1013" t="s">
        <v>2419</v>
      </c>
      <c r="C1013" t="s">
        <v>2419</v>
      </c>
      <c r="D1013">
        <v>32</v>
      </c>
      <c r="E1013">
        <v>5</v>
      </c>
      <c r="F1013">
        <v>9</v>
      </c>
      <c r="G1013">
        <v>12</v>
      </c>
      <c r="H1013" t="s">
        <v>2814</v>
      </c>
      <c r="I101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13" t="s">
        <v>1018</v>
      </c>
      <c r="K1013" t="str">
        <f>RIGHT(Tabla2[[#This Row],[codigo_producto]],LEN(Tabla2[[#This Row],[codigo_producto]])-FIND("/",Tabla2[[#This Row],[codigo_producto]]))</f>
        <v>1205232P3030</v>
      </c>
      <c r="L1013" t="str">
        <f>LEFT(Tabla2[[#This Row],[codigo_producto]],FIND("/",Tabla2[[#This Row],[codigo_producto]])-1)</f>
        <v>7</v>
      </c>
      <c r="M101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14" spans="1:13" x14ac:dyDescent="0.25">
      <c r="A1014" t="s">
        <v>3832</v>
      </c>
      <c r="B1014" t="s">
        <v>2420</v>
      </c>
      <c r="C1014" t="s">
        <v>2420</v>
      </c>
      <c r="D1014">
        <v>32</v>
      </c>
      <c r="E1014">
        <v>5</v>
      </c>
      <c r="F1014">
        <v>9</v>
      </c>
      <c r="G1014">
        <v>12</v>
      </c>
      <c r="H1014" t="s">
        <v>2814</v>
      </c>
      <c r="I101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14" t="s">
        <v>1019</v>
      </c>
      <c r="K1014" t="str">
        <f>RIGHT(Tabla2[[#This Row],[codigo_producto]],LEN(Tabla2[[#This Row],[codigo_producto]])-FIND("/",Tabla2[[#This Row],[codigo_producto]]))</f>
        <v>1311100U8510</v>
      </c>
      <c r="L1014" t="str">
        <f>LEFT(Tabla2[[#This Row],[codigo_producto]],FIND("/",Tabla2[[#This Row],[codigo_producto]])-1)</f>
        <v>7</v>
      </c>
      <c r="M101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15" spans="1:13" x14ac:dyDescent="0.25">
      <c r="A1015" t="s">
        <v>3833</v>
      </c>
      <c r="B1015" t="s">
        <v>2421</v>
      </c>
      <c r="C1015" t="s">
        <v>2421</v>
      </c>
      <c r="D1015">
        <v>32</v>
      </c>
      <c r="E1015">
        <v>5</v>
      </c>
      <c r="F1015">
        <v>9</v>
      </c>
      <c r="G1015">
        <v>12</v>
      </c>
      <c r="H1015" t="s">
        <v>2814</v>
      </c>
      <c r="I101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15" t="s">
        <v>1020</v>
      </c>
      <c r="K1015" t="str">
        <f>RIGHT(Tabla2[[#This Row],[codigo_producto]],LEN(Tabla2[[#This Row],[codigo_producto]])-FIND("/",Tabla2[[#This Row],[codigo_producto]]))</f>
        <v>1608010P306A</v>
      </c>
      <c r="L1015" t="str">
        <f>LEFT(Tabla2[[#This Row],[codigo_producto]],FIND("/",Tabla2[[#This Row],[codigo_producto]])-1)</f>
        <v>7</v>
      </c>
      <c r="M101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16" spans="1:13" x14ac:dyDescent="0.25">
      <c r="A1016" t="s">
        <v>3834</v>
      </c>
      <c r="B1016" t="s">
        <v>2422</v>
      </c>
      <c r="C1016" t="s">
        <v>2422</v>
      </c>
      <c r="D1016">
        <v>32</v>
      </c>
      <c r="E1016">
        <v>5</v>
      </c>
      <c r="F1016">
        <v>9</v>
      </c>
      <c r="G1016">
        <v>12</v>
      </c>
      <c r="H1016" t="s">
        <v>2814</v>
      </c>
      <c r="I101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16" t="s">
        <v>1021</v>
      </c>
      <c r="K1016" t="str">
        <f>RIGHT(Tabla2[[#This Row],[codigo_producto]],LEN(Tabla2[[#This Row],[codigo_producto]])-FIND("/",Tabla2[[#This Row],[codigo_producto]]))</f>
        <v>1608100U3400</v>
      </c>
      <c r="L1016" t="str">
        <f>LEFT(Tabla2[[#This Row],[codigo_producto]],FIND("/",Tabla2[[#This Row],[codigo_producto]])-1)</f>
        <v>7</v>
      </c>
      <c r="M101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17" spans="1:13" x14ac:dyDescent="0.25">
      <c r="A1017" t="s">
        <v>3835</v>
      </c>
      <c r="B1017" t="s">
        <v>2423</v>
      </c>
      <c r="C1017" t="s">
        <v>2423</v>
      </c>
      <c r="D1017">
        <v>32</v>
      </c>
      <c r="E1017">
        <v>5</v>
      </c>
      <c r="F1017">
        <v>9</v>
      </c>
      <c r="G1017">
        <v>12</v>
      </c>
      <c r="H1017" t="s">
        <v>2814</v>
      </c>
      <c r="I101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17" t="s">
        <v>1022</v>
      </c>
      <c r="K1017" t="str">
        <f>RIGHT(Tabla2[[#This Row],[codigo_producto]],LEN(Tabla2[[#This Row],[codigo_producto]])-FIND("/",Tabla2[[#This Row],[codigo_producto]]))</f>
        <v>1703400P3060</v>
      </c>
      <c r="L1017" t="str">
        <f>LEFT(Tabla2[[#This Row],[codigo_producto]],FIND("/",Tabla2[[#This Row],[codigo_producto]])-1)</f>
        <v>7</v>
      </c>
      <c r="M101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18" spans="1:13" x14ac:dyDescent="0.25">
      <c r="A1018" t="s">
        <v>3836</v>
      </c>
      <c r="B1018" t="s">
        <v>2424</v>
      </c>
      <c r="C1018" t="s">
        <v>2424</v>
      </c>
      <c r="D1018">
        <v>32</v>
      </c>
      <c r="E1018">
        <v>5</v>
      </c>
      <c r="F1018">
        <v>9</v>
      </c>
      <c r="G1018">
        <v>12</v>
      </c>
      <c r="H1018" t="s">
        <v>2814</v>
      </c>
      <c r="I101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18" t="s">
        <v>1023</v>
      </c>
      <c r="K1018" t="str">
        <f>RIGHT(Tabla2[[#This Row],[codigo_producto]],LEN(Tabla2[[#This Row],[codigo_producto]])-FIND("/",Tabla2[[#This Row],[codigo_producto]]))</f>
        <v>2803142U2400</v>
      </c>
      <c r="L1018" t="str">
        <f>LEFT(Tabla2[[#This Row],[codigo_producto]],FIND("/",Tabla2[[#This Row],[codigo_producto]])-1)</f>
        <v>7</v>
      </c>
      <c r="M101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19" spans="1:13" x14ac:dyDescent="0.25">
      <c r="A1019" t="s">
        <v>3837</v>
      </c>
      <c r="B1019" t="s">
        <v>2425</v>
      </c>
      <c r="C1019" t="s">
        <v>2425</v>
      </c>
      <c r="D1019">
        <v>32</v>
      </c>
      <c r="E1019">
        <v>5</v>
      </c>
      <c r="F1019">
        <v>9</v>
      </c>
      <c r="G1019">
        <v>12</v>
      </c>
      <c r="H1019" t="s">
        <v>2814</v>
      </c>
      <c r="I101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19" t="s">
        <v>1024</v>
      </c>
      <c r="K1019" t="str">
        <f>RIGHT(Tabla2[[#This Row],[codigo_producto]],LEN(Tabla2[[#This Row],[codigo_producto]])-FIND("/",Tabla2[[#This Row],[codigo_producto]]))</f>
        <v>2804100P306A</v>
      </c>
      <c r="L1019" t="str">
        <f>LEFT(Tabla2[[#This Row],[codigo_producto]],FIND("/",Tabla2[[#This Row],[codigo_producto]])-1)</f>
        <v>7</v>
      </c>
      <c r="M101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20" spans="1:13" x14ac:dyDescent="0.25">
      <c r="A1020" t="s">
        <v>3838</v>
      </c>
      <c r="B1020" t="s">
        <v>2426</v>
      </c>
      <c r="C1020" t="s">
        <v>2426</v>
      </c>
      <c r="D1020">
        <v>32</v>
      </c>
      <c r="E1020">
        <v>5</v>
      </c>
      <c r="F1020">
        <v>9</v>
      </c>
      <c r="G1020">
        <v>12</v>
      </c>
      <c r="H1020" t="s">
        <v>2814</v>
      </c>
      <c r="I102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20" t="s">
        <v>1025</v>
      </c>
      <c r="K1020" t="str">
        <f>RIGHT(Tabla2[[#This Row],[codigo_producto]],LEN(Tabla2[[#This Row],[codigo_producto]])-FIND("/",Tabla2[[#This Row],[codigo_producto]]))</f>
        <v>2804105P306A</v>
      </c>
      <c r="L1020" t="str">
        <f>LEFT(Tabla2[[#This Row],[codigo_producto]],FIND("/",Tabla2[[#This Row],[codigo_producto]])-1)</f>
        <v>7</v>
      </c>
      <c r="M102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21" spans="1:13" x14ac:dyDescent="0.25">
      <c r="A1021" t="s">
        <v>3839</v>
      </c>
      <c r="B1021" t="s">
        <v>2427</v>
      </c>
      <c r="C1021" t="s">
        <v>2427</v>
      </c>
      <c r="D1021">
        <v>32</v>
      </c>
      <c r="E1021">
        <v>5</v>
      </c>
      <c r="F1021">
        <v>9</v>
      </c>
      <c r="G1021">
        <v>12</v>
      </c>
      <c r="H1021" t="s">
        <v>2814</v>
      </c>
      <c r="I102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21" t="s">
        <v>1026</v>
      </c>
      <c r="K1021" t="str">
        <f>RIGHT(Tabla2[[#This Row],[codigo_producto]],LEN(Tabla2[[#This Row],[codigo_producto]])-FIND("/",Tabla2[[#This Row],[codigo_producto]]))</f>
        <v>2804200P306A</v>
      </c>
      <c r="L1021" t="str">
        <f>LEFT(Tabla2[[#This Row],[codigo_producto]],FIND("/",Tabla2[[#This Row],[codigo_producto]])-1)</f>
        <v>7</v>
      </c>
      <c r="M102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22" spans="1:13" x14ac:dyDescent="0.25">
      <c r="A1022" t="s">
        <v>3840</v>
      </c>
      <c r="B1022" t="s">
        <v>1824</v>
      </c>
      <c r="C1022" t="s">
        <v>1824</v>
      </c>
      <c r="D1022">
        <v>32</v>
      </c>
      <c r="E1022">
        <v>5</v>
      </c>
      <c r="F1022">
        <v>9</v>
      </c>
      <c r="G1022">
        <v>12</v>
      </c>
      <c r="H1022" t="s">
        <v>2814</v>
      </c>
      <c r="I102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22" t="s">
        <v>1027</v>
      </c>
      <c r="K1022" t="str">
        <f>RIGHT(Tabla2[[#This Row],[codigo_producto]],LEN(Tabla2[[#This Row],[codigo_producto]])-FIND("/",Tabla2[[#This Row],[codigo_producto]]))</f>
        <v>2901100U8910</v>
      </c>
      <c r="L1022" t="str">
        <f>LEFT(Tabla2[[#This Row],[codigo_producto]],FIND("/",Tabla2[[#This Row],[codigo_producto]])-1)</f>
        <v>7</v>
      </c>
      <c r="M102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23" spans="1:13" x14ac:dyDescent="0.25">
      <c r="A1023" t="s">
        <v>3841</v>
      </c>
      <c r="B1023" t="s">
        <v>1825</v>
      </c>
      <c r="C1023" t="s">
        <v>1825</v>
      </c>
      <c r="D1023">
        <v>32</v>
      </c>
      <c r="E1023">
        <v>5</v>
      </c>
      <c r="F1023">
        <v>9</v>
      </c>
      <c r="G1023">
        <v>12</v>
      </c>
      <c r="H1023" t="s">
        <v>2814</v>
      </c>
      <c r="I102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23" t="s">
        <v>1028</v>
      </c>
      <c r="K1023" t="str">
        <f>RIGHT(Tabla2[[#This Row],[codigo_producto]],LEN(Tabla2[[#This Row],[codigo_producto]])-FIND("/",Tabla2[[#This Row],[codigo_producto]]))</f>
        <v>2901200U8910</v>
      </c>
      <c r="L1023" t="str">
        <f>LEFT(Tabla2[[#This Row],[codigo_producto]],FIND("/",Tabla2[[#This Row],[codigo_producto]])-1)</f>
        <v>7</v>
      </c>
      <c r="M102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24" spans="1:13" x14ac:dyDescent="0.25">
      <c r="A1024" t="s">
        <v>3842</v>
      </c>
      <c r="B1024" t="s">
        <v>1836</v>
      </c>
      <c r="C1024" t="s">
        <v>1836</v>
      </c>
      <c r="D1024">
        <v>32</v>
      </c>
      <c r="E1024">
        <v>5</v>
      </c>
      <c r="F1024">
        <v>9</v>
      </c>
      <c r="G1024">
        <v>12</v>
      </c>
      <c r="H1024" t="s">
        <v>2814</v>
      </c>
      <c r="I102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24" t="s">
        <v>1029</v>
      </c>
      <c r="K1024" t="str">
        <f>RIGHT(Tabla2[[#This Row],[codigo_producto]],LEN(Tabla2[[#This Row],[codigo_producto]])-FIND("/",Tabla2[[#This Row],[codigo_producto]]))</f>
        <v>2901310U1910</v>
      </c>
      <c r="L1024" t="str">
        <f>LEFT(Tabla2[[#This Row],[codigo_producto]],FIND("/",Tabla2[[#This Row],[codigo_producto]])-1)</f>
        <v>7</v>
      </c>
      <c r="M102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25" spans="1:13" x14ac:dyDescent="0.25">
      <c r="A1025" t="s">
        <v>3843</v>
      </c>
      <c r="B1025" t="s">
        <v>2428</v>
      </c>
      <c r="C1025" t="s">
        <v>2428</v>
      </c>
      <c r="D1025">
        <v>32</v>
      </c>
      <c r="E1025">
        <v>5</v>
      </c>
      <c r="F1025">
        <v>9</v>
      </c>
      <c r="G1025">
        <v>12</v>
      </c>
      <c r="H1025" t="s">
        <v>2814</v>
      </c>
      <c r="I102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25" t="s">
        <v>1030</v>
      </c>
      <c r="K1025" t="str">
        <f>RIGHT(Tabla2[[#This Row],[codigo_producto]],LEN(Tabla2[[#This Row],[codigo_producto]])-FIND("/",Tabla2[[#This Row],[codigo_producto]]))</f>
        <v>2901710U8910</v>
      </c>
      <c r="L1025" t="str">
        <f>LEFT(Tabla2[[#This Row],[codigo_producto]],FIND("/",Tabla2[[#This Row],[codigo_producto]])-1)</f>
        <v>7</v>
      </c>
      <c r="M102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26" spans="1:13" x14ac:dyDescent="0.25">
      <c r="A1026" t="s">
        <v>3844</v>
      </c>
      <c r="B1026" t="s">
        <v>2429</v>
      </c>
      <c r="C1026" t="s">
        <v>2429</v>
      </c>
      <c r="D1026">
        <v>32</v>
      </c>
      <c r="E1026">
        <v>5</v>
      </c>
      <c r="F1026">
        <v>9</v>
      </c>
      <c r="G1026">
        <v>12</v>
      </c>
      <c r="H1026" t="s">
        <v>2814</v>
      </c>
      <c r="I102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26" t="s">
        <v>1031</v>
      </c>
      <c r="K1026" t="str">
        <f>RIGHT(Tabla2[[#This Row],[codigo_producto]],LEN(Tabla2[[#This Row],[codigo_producto]])-FIND("/",Tabla2[[#This Row],[codigo_producto]]))</f>
        <v>2902020W5000</v>
      </c>
      <c r="L1026" t="str">
        <f>LEFT(Tabla2[[#This Row],[codigo_producto]],FIND("/",Tabla2[[#This Row],[codigo_producto]])-1)</f>
        <v>7</v>
      </c>
      <c r="M102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27" spans="1:13" x14ac:dyDescent="0.25">
      <c r="A1027" t="s">
        <v>3845</v>
      </c>
      <c r="B1027" t="s">
        <v>1976</v>
      </c>
      <c r="C1027" t="s">
        <v>1976</v>
      </c>
      <c r="D1027">
        <v>32</v>
      </c>
      <c r="E1027">
        <v>5</v>
      </c>
      <c r="F1027">
        <v>9</v>
      </c>
      <c r="G1027">
        <v>12</v>
      </c>
      <c r="H1027" t="s">
        <v>2814</v>
      </c>
      <c r="I102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27" t="s">
        <v>1032</v>
      </c>
      <c r="K1027" t="str">
        <f>RIGHT(Tabla2[[#This Row],[codigo_producto]],LEN(Tabla2[[#This Row],[codigo_producto]])-FIND("/",Tabla2[[#This Row],[codigo_producto]]))</f>
        <v>2904300P3010</v>
      </c>
      <c r="L1027" t="str">
        <f>LEFT(Tabla2[[#This Row],[codigo_producto]],FIND("/",Tabla2[[#This Row],[codigo_producto]])-1)</f>
        <v>7</v>
      </c>
      <c r="M102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28" spans="1:13" x14ac:dyDescent="0.25">
      <c r="A1028" t="s">
        <v>3846</v>
      </c>
      <c r="B1028" t="s">
        <v>2430</v>
      </c>
      <c r="C1028" t="s">
        <v>2430</v>
      </c>
      <c r="D1028">
        <v>32</v>
      </c>
      <c r="E1028">
        <v>5</v>
      </c>
      <c r="F1028">
        <v>9</v>
      </c>
      <c r="G1028">
        <v>12</v>
      </c>
      <c r="H1028" t="s">
        <v>2814</v>
      </c>
      <c r="I102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28" t="s">
        <v>1033</v>
      </c>
      <c r="K1028" t="str">
        <f>RIGHT(Tabla2[[#This Row],[codigo_producto]],LEN(Tabla2[[#This Row],[codigo_producto]])-FIND("/",Tabla2[[#This Row],[codigo_producto]]))</f>
        <v>2904320P3010</v>
      </c>
      <c r="L1028" t="str">
        <f>LEFT(Tabla2[[#This Row],[codigo_producto]],FIND("/",Tabla2[[#This Row],[codigo_producto]])-1)</f>
        <v>7</v>
      </c>
      <c r="M102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29" spans="1:13" x14ac:dyDescent="0.25">
      <c r="A1029" t="s">
        <v>3847</v>
      </c>
      <c r="B1029" t="s">
        <v>2431</v>
      </c>
      <c r="C1029" t="s">
        <v>2431</v>
      </c>
      <c r="D1029">
        <v>32</v>
      </c>
      <c r="E1029">
        <v>5</v>
      </c>
      <c r="F1029">
        <v>9</v>
      </c>
      <c r="G1029">
        <v>12</v>
      </c>
      <c r="H1029" t="s">
        <v>2814</v>
      </c>
      <c r="I102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29" t="s">
        <v>1034</v>
      </c>
      <c r="K1029" t="str">
        <f>RIGHT(Tabla2[[#This Row],[codigo_producto]],LEN(Tabla2[[#This Row],[codigo_producto]])-FIND("/",Tabla2[[#This Row],[codigo_producto]]))</f>
        <v>2904330P3010</v>
      </c>
      <c r="L1029" t="str">
        <f>LEFT(Tabla2[[#This Row],[codigo_producto]],FIND("/",Tabla2[[#This Row],[codigo_producto]])-1)</f>
        <v>7</v>
      </c>
      <c r="M102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30" spans="1:13" x14ac:dyDescent="0.25">
      <c r="A1030" t="s">
        <v>3848</v>
      </c>
      <c r="B1030" t="s">
        <v>2431</v>
      </c>
      <c r="C1030" t="s">
        <v>2431</v>
      </c>
      <c r="D1030">
        <v>32</v>
      </c>
      <c r="E1030">
        <v>5</v>
      </c>
      <c r="F1030">
        <v>9</v>
      </c>
      <c r="G1030">
        <v>12</v>
      </c>
      <c r="H1030" t="s">
        <v>2814</v>
      </c>
      <c r="I103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30" t="s">
        <v>1035</v>
      </c>
      <c r="K1030" t="str">
        <f>RIGHT(Tabla2[[#This Row],[codigo_producto]],LEN(Tabla2[[#This Row],[codigo_producto]])-FIND("/",Tabla2[[#This Row],[codigo_producto]]))</f>
        <v>2904340P3010</v>
      </c>
      <c r="L1030" t="str">
        <f>LEFT(Tabla2[[#This Row],[codigo_producto]],FIND("/",Tabla2[[#This Row],[codigo_producto]])-1)</f>
        <v>7</v>
      </c>
      <c r="M103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31" spans="1:13" x14ac:dyDescent="0.25">
      <c r="A1031" t="s">
        <v>3849</v>
      </c>
      <c r="B1031" t="s">
        <v>2432</v>
      </c>
      <c r="C1031" t="s">
        <v>2432</v>
      </c>
      <c r="D1031">
        <v>32</v>
      </c>
      <c r="E1031">
        <v>5</v>
      </c>
      <c r="F1031">
        <v>9</v>
      </c>
      <c r="G1031">
        <v>12</v>
      </c>
      <c r="H1031" t="s">
        <v>2814</v>
      </c>
      <c r="I103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31" t="s">
        <v>1036</v>
      </c>
      <c r="K1031" t="str">
        <f>RIGHT(Tabla2[[#This Row],[codigo_producto]],LEN(Tabla2[[#This Row],[codigo_producto]])-FIND("/",Tabla2[[#This Row],[codigo_producto]]))</f>
        <v>2904350P3010</v>
      </c>
      <c r="L1031" t="str">
        <f>LEFT(Tabla2[[#This Row],[codigo_producto]],FIND("/",Tabla2[[#This Row],[codigo_producto]])-1)</f>
        <v>7</v>
      </c>
      <c r="M103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32" spans="1:13" x14ac:dyDescent="0.25">
      <c r="A1032" t="s">
        <v>3850</v>
      </c>
      <c r="B1032" t="s">
        <v>2433</v>
      </c>
      <c r="C1032" t="s">
        <v>2433</v>
      </c>
      <c r="D1032">
        <v>32</v>
      </c>
      <c r="E1032">
        <v>5</v>
      </c>
      <c r="F1032">
        <v>9</v>
      </c>
      <c r="G1032">
        <v>12</v>
      </c>
      <c r="H1032" t="s">
        <v>2814</v>
      </c>
      <c r="I103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32" t="s">
        <v>1037</v>
      </c>
      <c r="K1032" t="str">
        <f>RIGHT(Tabla2[[#This Row],[codigo_producto]],LEN(Tabla2[[#This Row],[codigo_producto]])-FIND("/",Tabla2[[#This Row],[codigo_producto]]))</f>
        <v>2904360P3010</v>
      </c>
      <c r="L1032" t="str">
        <f>LEFT(Tabla2[[#This Row],[codigo_producto]],FIND("/",Tabla2[[#This Row],[codigo_producto]])-1)</f>
        <v>7</v>
      </c>
      <c r="M103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33" spans="1:13" x14ac:dyDescent="0.25">
      <c r="A1033" t="s">
        <v>3851</v>
      </c>
      <c r="B1033" t="s">
        <v>1975</v>
      </c>
      <c r="C1033" t="s">
        <v>1975</v>
      </c>
      <c r="D1033">
        <v>32</v>
      </c>
      <c r="E1033">
        <v>5</v>
      </c>
      <c r="F1033">
        <v>9</v>
      </c>
      <c r="G1033">
        <v>12</v>
      </c>
      <c r="H1033" t="s">
        <v>2814</v>
      </c>
      <c r="I103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33" t="s">
        <v>1038</v>
      </c>
      <c r="K1033" t="str">
        <f>RIGHT(Tabla2[[#This Row],[codigo_producto]],LEN(Tabla2[[#This Row],[codigo_producto]])-FIND("/",Tabla2[[#This Row],[codigo_producto]]))</f>
        <v>2904400P3010</v>
      </c>
      <c r="L1033" t="str">
        <f>LEFT(Tabla2[[#This Row],[codigo_producto]],FIND("/",Tabla2[[#This Row],[codigo_producto]])-1)</f>
        <v>7</v>
      </c>
      <c r="M103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34" spans="1:13" x14ac:dyDescent="0.25">
      <c r="A1034" t="s">
        <v>3852</v>
      </c>
      <c r="B1034" t="s">
        <v>2434</v>
      </c>
      <c r="C1034" t="s">
        <v>2434</v>
      </c>
      <c r="D1034">
        <v>32</v>
      </c>
      <c r="E1034">
        <v>5</v>
      </c>
      <c r="F1034">
        <v>9</v>
      </c>
      <c r="G1034">
        <v>12</v>
      </c>
      <c r="H1034" t="s">
        <v>2814</v>
      </c>
      <c r="I103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34" t="s">
        <v>1039</v>
      </c>
      <c r="K1034" t="str">
        <f>RIGHT(Tabla2[[#This Row],[codigo_producto]],LEN(Tabla2[[#This Row],[codigo_producto]])-FIND("/",Tabla2[[#This Row],[codigo_producto]]))</f>
        <v>2904500P3010</v>
      </c>
      <c r="L1034" t="str">
        <f>LEFT(Tabla2[[#This Row],[codigo_producto]],FIND("/",Tabla2[[#This Row],[codigo_producto]])-1)</f>
        <v>7</v>
      </c>
      <c r="M103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35" spans="1:13" x14ac:dyDescent="0.25">
      <c r="A1035" t="s">
        <v>3853</v>
      </c>
      <c r="B1035" t="s">
        <v>2435</v>
      </c>
      <c r="C1035" t="s">
        <v>2435</v>
      </c>
      <c r="D1035">
        <v>32</v>
      </c>
      <c r="E1035">
        <v>5</v>
      </c>
      <c r="F1035">
        <v>9</v>
      </c>
      <c r="G1035">
        <v>12</v>
      </c>
      <c r="H1035" t="s">
        <v>2814</v>
      </c>
      <c r="I103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35" t="s">
        <v>1040</v>
      </c>
      <c r="K1035" t="str">
        <f>RIGHT(Tabla2[[#This Row],[codigo_producto]],LEN(Tabla2[[#This Row],[codigo_producto]])-FIND("/",Tabla2[[#This Row],[codigo_producto]]))</f>
        <v>2904510P3010</v>
      </c>
      <c r="L1035" t="str">
        <f>LEFT(Tabla2[[#This Row],[codigo_producto]],FIND("/",Tabla2[[#This Row],[codigo_producto]])-1)</f>
        <v>7</v>
      </c>
      <c r="M103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36" spans="1:13" x14ac:dyDescent="0.25">
      <c r="A1036" t="s">
        <v>3854</v>
      </c>
      <c r="B1036" t="s">
        <v>2431</v>
      </c>
      <c r="C1036" t="s">
        <v>2431</v>
      </c>
      <c r="D1036">
        <v>32</v>
      </c>
      <c r="E1036">
        <v>5</v>
      </c>
      <c r="F1036">
        <v>9</v>
      </c>
      <c r="G1036">
        <v>12</v>
      </c>
      <c r="H1036" t="s">
        <v>2814</v>
      </c>
      <c r="I103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36" t="s">
        <v>1041</v>
      </c>
      <c r="K1036" t="str">
        <f>RIGHT(Tabla2[[#This Row],[codigo_producto]],LEN(Tabla2[[#This Row],[codigo_producto]])-FIND("/",Tabla2[[#This Row],[codigo_producto]]))</f>
        <v>2904530P3010</v>
      </c>
      <c r="L1036" t="str">
        <f>LEFT(Tabla2[[#This Row],[codigo_producto]],FIND("/",Tabla2[[#This Row],[codigo_producto]])-1)</f>
        <v>7</v>
      </c>
      <c r="M103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37" spans="1:13" x14ac:dyDescent="0.25">
      <c r="A1037" t="s">
        <v>3855</v>
      </c>
      <c r="B1037" t="s">
        <v>2436</v>
      </c>
      <c r="C1037" t="s">
        <v>2436</v>
      </c>
      <c r="D1037">
        <v>32</v>
      </c>
      <c r="E1037">
        <v>5</v>
      </c>
      <c r="F1037">
        <v>9</v>
      </c>
      <c r="G1037">
        <v>12</v>
      </c>
      <c r="H1037" t="s">
        <v>2814</v>
      </c>
      <c r="I103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37" t="s">
        <v>1042</v>
      </c>
      <c r="K1037" t="str">
        <f>RIGHT(Tabla2[[#This Row],[codigo_producto]],LEN(Tabla2[[#This Row],[codigo_producto]])-FIND("/",Tabla2[[#This Row],[codigo_producto]]))</f>
        <v>2904540P3010</v>
      </c>
      <c r="L1037" t="str">
        <f>LEFT(Tabla2[[#This Row],[codigo_producto]],FIND("/",Tabla2[[#This Row],[codigo_producto]])-1)</f>
        <v>7</v>
      </c>
      <c r="M103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38" spans="1:13" x14ac:dyDescent="0.25">
      <c r="A1038" t="s">
        <v>3856</v>
      </c>
      <c r="B1038" t="s">
        <v>2437</v>
      </c>
      <c r="C1038" t="s">
        <v>2437</v>
      </c>
      <c r="D1038">
        <v>32</v>
      </c>
      <c r="E1038">
        <v>5</v>
      </c>
      <c r="F1038">
        <v>9</v>
      </c>
      <c r="G1038">
        <v>12</v>
      </c>
      <c r="H1038" t="s">
        <v>2814</v>
      </c>
      <c r="I103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38" t="s">
        <v>1043</v>
      </c>
      <c r="K1038" t="str">
        <f>RIGHT(Tabla2[[#This Row],[codigo_producto]],LEN(Tabla2[[#This Row],[codigo_producto]])-FIND("/",Tabla2[[#This Row],[codigo_producto]]))</f>
        <v>2904600P3010</v>
      </c>
      <c r="L1038" t="str">
        <f>LEFT(Tabla2[[#This Row],[codigo_producto]],FIND("/",Tabla2[[#This Row],[codigo_producto]])-1)</f>
        <v>7</v>
      </c>
      <c r="M103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39" spans="1:13" x14ac:dyDescent="0.25">
      <c r="A1039" t="s">
        <v>3857</v>
      </c>
      <c r="B1039" t="s">
        <v>1826</v>
      </c>
      <c r="C1039" t="s">
        <v>1826</v>
      </c>
      <c r="D1039">
        <v>32</v>
      </c>
      <c r="E1039">
        <v>5</v>
      </c>
      <c r="F1039">
        <v>9</v>
      </c>
      <c r="G1039">
        <v>12</v>
      </c>
      <c r="H1039" t="s">
        <v>2814</v>
      </c>
      <c r="I103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39" t="s">
        <v>1044</v>
      </c>
      <c r="K1039" t="str">
        <f>RIGHT(Tabla2[[#This Row],[codigo_producto]],LEN(Tabla2[[#This Row],[codigo_producto]])-FIND("/",Tabla2[[#This Row],[codigo_producto]]))</f>
        <v>2905010P3010</v>
      </c>
      <c r="L1039" t="str">
        <f>LEFT(Tabla2[[#This Row],[codigo_producto]],FIND("/",Tabla2[[#This Row],[codigo_producto]])-1)</f>
        <v>7</v>
      </c>
      <c r="M103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40" spans="1:13" x14ac:dyDescent="0.25">
      <c r="A1040" t="s">
        <v>3858</v>
      </c>
      <c r="B1040" t="s">
        <v>1826</v>
      </c>
      <c r="C1040" t="s">
        <v>1826</v>
      </c>
      <c r="D1040">
        <v>32</v>
      </c>
      <c r="E1040">
        <v>5</v>
      </c>
      <c r="F1040">
        <v>9</v>
      </c>
      <c r="G1040">
        <v>12</v>
      </c>
      <c r="H1040" t="s">
        <v>2814</v>
      </c>
      <c r="I104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40" t="s">
        <v>1045</v>
      </c>
      <c r="K1040" t="str">
        <f>RIGHT(Tabla2[[#This Row],[codigo_producto]],LEN(Tabla2[[#This Row],[codigo_producto]])-FIND("/",Tabla2[[#This Row],[codigo_producto]]))</f>
        <v>2905100P3010</v>
      </c>
      <c r="L1040" t="str">
        <f>LEFT(Tabla2[[#This Row],[codigo_producto]],FIND("/",Tabla2[[#This Row],[codigo_producto]])-1)</f>
        <v>7</v>
      </c>
      <c r="M104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41" spans="1:13" x14ac:dyDescent="0.25">
      <c r="A1041" t="s">
        <v>3859</v>
      </c>
      <c r="B1041" t="s">
        <v>1836</v>
      </c>
      <c r="C1041" t="s">
        <v>1836</v>
      </c>
      <c r="D1041">
        <v>32</v>
      </c>
      <c r="E1041">
        <v>5</v>
      </c>
      <c r="F1041">
        <v>9</v>
      </c>
      <c r="G1041">
        <v>12</v>
      </c>
      <c r="H1041" t="s">
        <v>2814</v>
      </c>
      <c r="I104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41" t="s">
        <v>1046</v>
      </c>
      <c r="K1041" t="str">
        <f>RIGHT(Tabla2[[#This Row],[codigo_producto]],LEN(Tabla2[[#This Row],[codigo_producto]])-FIND("/",Tabla2[[#This Row],[codigo_producto]]))</f>
        <v>2905100U3400</v>
      </c>
      <c r="L1041" t="str">
        <f>LEFT(Tabla2[[#This Row],[codigo_producto]],FIND("/",Tabla2[[#This Row],[codigo_producto]])-1)</f>
        <v>7</v>
      </c>
      <c r="M104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42" spans="1:13" x14ac:dyDescent="0.25">
      <c r="A1042" t="s">
        <v>3860</v>
      </c>
      <c r="B1042" t="s">
        <v>1836</v>
      </c>
      <c r="C1042" t="s">
        <v>1836</v>
      </c>
      <c r="D1042">
        <v>32</v>
      </c>
      <c r="E1042">
        <v>5</v>
      </c>
      <c r="F1042">
        <v>9</v>
      </c>
      <c r="G1042">
        <v>12</v>
      </c>
      <c r="H1042" t="s">
        <v>2814</v>
      </c>
      <c r="I104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42" t="s">
        <v>1047</v>
      </c>
      <c r="K1042" t="str">
        <f>RIGHT(Tabla2[[#This Row],[codigo_producto]],LEN(Tabla2[[#This Row],[codigo_producto]])-FIND("/",Tabla2[[#This Row],[codigo_producto]]))</f>
        <v>2905110U3400</v>
      </c>
      <c r="L1042" t="str">
        <f>LEFT(Tabla2[[#This Row],[codigo_producto]],FIND("/",Tabla2[[#This Row],[codigo_producto]])-1)</f>
        <v>7</v>
      </c>
      <c r="M104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43" spans="1:13" x14ac:dyDescent="0.25">
      <c r="A1043" t="s">
        <v>3861</v>
      </c>
      <c r="B1043" t="s">
        <v>1835</v>
      </c>
      <c r="C1043" t="s">
        <v>1835</v>
      </c>
      <c r="D1043">
        <v>32</v>
      </c>
      <c r="E1043">
        <v>5</v>
      </c>
      <c r="F1043">
        <v>9</v>
      </c>
      <c r="G1043">
        <v>12</v>
      </c>
      <c r="H1043" t="s">
        <v>2814</v>
      </c>
      <c r="I104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43" t="s">
        <v>1048</v>
      </c>
      <c r="K1043" t="str">
        <f>RIGHT(Tabla2[[#This Row],[codigo_producto]],LEN(Tabla2[[#This Row],[codigo_producto]])-FIND("/",Tabla2[[#This Row],[codigo_producto]]))</f>
        <v>2905200U3400</v>
      </c>
      <c r="L1043" t="str">
        <f>LEFT(Tabla2[[#This Row],[codigo_producto]],FIND("/",Tabla2[[#This Row],[codigo_producto]])-1)</f>
        <v>7</v>
      </c>
      <c r="M104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44" spans="1:13" x14ac:dyDescent="0.25">
      <c r="A1044" t="s">
        <v>3862</v>
      </c>
      <c r="B1044" t="s">
        <v>1835</v>
      </c>
      <c r="C1044" t="s">
        <v>1835</v>
      </c>
      <c r="D1044">
        <v>32</v>
      </c>
      <c r="E1044">
        <v>5</v>
      </c>
      <c r="F1044">
        <v>9</v>
      </c>
      <c r="G1044">
        <v>12</v>
      </c>
      <c r="H1044" t="s">
        <v>2814</v>
      </c>
      <c r="I104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44" t="s">
        <v>1049</v>
      </c>
      <c r="K1044" t="str">
        <f>RIGHT(Tabla2[[#This Row],[codigo_producto]],LEN(Tabla2[[#This Row],[codigo_producto]])-FIND("/",Tabla2[[#This Row],[codigo_producto]]))</f>
        <v>2905210U3400</v>
      </c>
      <c r="L1044" t="str">
        <f>LEFT(Tabla2[[#This Row],[codigo_producto]],FIND("/",Tabla2[[#This Row],[codigo_producto]])-1)</f>
        <v>7</v>
      </c>
      <c r="M104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45" spans="1:13" x14ac:dyDescent="0.25">
      <c r="A1045" t="s">
        <v>3863</v>
      </c>
      <c r="B1045" t="s">
        <v>2438</v>
      </c>
      <c r="C1045" t="s">
        <v>2438</v>
      </c>
      <c r="D1045">
        <v>32</v>
      </c>
      <c r="E1045">
        <v>5</v>
      </c>
      <c r="F1045">
        <v>9</v>
      </c>
      <c r="G1045">
        <v>12</v>
      </c>
      <c r="H1045" t="s">
        <v>2814</v>
      </c>
      <c r="I104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45" t="s">
        <v>1050</v>
      </c>
      <c r="K1045" t="str">
        <f>RIGHT(Tabla2[[#This Row],[codigo_producto]],LEN(Tabla2[[#This Row],[codigo_producto]])-FIND("/",Tabla2[[#This Row],[codigo_producto]]))</f>
        <v>2906013P3010</v>
      </c>
      <c r="L1045" t="str">
        <f>LEFT(Tabla2[[#This Row],[codigo_producto]],FIND("/",Tabla2[[#This Row],[codigo_producto]])-1)</f>
        <v>7</v>
      </c>
      <c r="M104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46" spans="1:13" x14ac:dyDescent="0.25">
      <c r="A1046" t="s">
        <v>3864</v>
      </c>
      <c r="B1046" t="s">
        <v>2439</v>
      </c>
      <c r="C1046" t="s">
        <v>2439</v>
      </c>
      <c r="D1046">
        <v>32</v>
      </c>
      <c r="E1046">
        <v>5</v>
      </c>
      <c r="F1046">
        <v>9</v>
      </c>
      <c r="G1046">
        <v>12</v>
      </c>
      <c r="H1046" t="s">
        <v>2814</v>
      </c>
      <c r="I104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46" t="s">
        <v>1051</v>
      </c>
      <c r="K1046" t="str">
        <f>RIGHT(Tabla2[[#This Row],[codigo_producto]],LEN(Tabla2[[#This Row],[codigo_producto]])-FIND("/",Tabla2[[#This Row],[codigo_producto]]))</f>
        <v>2906020P3010</v>
      </c>
      <c r="L1046" t="str">
        <f>LEFT(Tabla2[[#This Row],[codigo_producto]],FIND("/",Tabla2[[#This Row],[codigo_producto]])-1)</f>
        <v>7</v>
      </c>
      <c r="M104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47" spans="1:13" x14ac:dyDescent="0.25">
      <c r="A1047" t="s">
        <v>3865</v>
      </c>
      <c r="B1047" t="s">
        <v>2440</v>
      </c>
      <c r="C1047" t="s">
        <v>2440</v>
      </c>
      <c r="D1047">
        <v>32</v>
      </c>
      <c r="E1047">
        <v>5</v>
      </c>
      <c r="F1047">
        <v>9</v>
      </c>
      <c r="G1047">
        <v>12</v>
      </c>
      <c r="H1047" t="s">
        <v>2814</v>
      </c>
      <c r="I104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47" t="s">
        <v>1052</v>
      </c>
      <c r="K1047" t="str">
        <f>RIGHT(Tabla2[[#This Row],[codigo_producto]],LEN(Tabla2[[#This Row],[codigo_producto]])-FIND("/",Tabla2[[#This Row],[codigo_producto]]))</f>
        <v>2906030P3010</v>
      </c>
      <c r="L1047" t="str">
        <f>LEFT(Tabla2[[#This Row],[codigo_producto]],FIND("/",Tabla2[[#This Row],[codigo_producto]])-1)</f>
        <v>7</v>
      </c>
      <c r="M104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48" spans="1:13" x14ac:dyDescent="0.25">
      <c r="A1048" t="s">
        <v>3866</v>
      </c>
      <c r="B1048" t="s">
        <v>2439</v>
      </c>
      <c r="C1048" t="s">
        <v>2439</v>
      </c>
      <c r="D1048">
        <v>32</v>
      </c>
      <c r="E1048">
        <v>5</v>
      </c>
      <c r="F1048">
        <v>9</v>
      </c>
      <c r="G1048">
        <v>12</v>
      </c>
      <c r="H1048" t="s">
        <v>2814</v>
      </c>
      <c r="I104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48" t="s">
        <v>1053</v>
      </c>
      <c r="K1048" t="str">
        <f>RIGHT(Tabla2[[#This Row],[codigo_producto]],LEN(Tabla2[[#This Row],[codigo_producto]])-FIND("/",Tabla2[[#This Row],[codigo_producto]]))</f>
        <v>2906210U8510</v>
      </c>
      <c r="L1048" t="str">
        <f>LEFT(Tabla2[[#This Row],[codigo_producto]],FIND("/",Tabla2[[#This Row],[codigo_producto]])-1)</f>
        <v>7</v>
      </c>
      <c r="M104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49" spans="1:13" x14ac:dyDescent="0.25">
      <c r="A1049" t="s">
        <v>3867</v>
      </c>
      <c r="B1049" t="s">
        <v>2428</v>
      </c>
      <c r="C1049" t="s">
        <v>2428</v>
      </c>
      <c r="D1049">
        <v>32</v>
      </c>
      <c r="E1049">
        <v>5</v>
      </c>
      <c r="F1049">
        <v>9</v>
      </c>
      <c r="G1049">
        <v>12</v>
      </c>
      <c r="H1049" t="s">
        <v>2814</v>
      </c>
      <c r="I104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49" t="s">
        <v>1054</v>
      </c>
      <c r="K1049" t="str">
        <f>RIGHT(Tabla2[[#This Row],[codigo_producto]],LEN(Tabla2[[#This Row],[codigo_producto]])-FIND("/",Tabla2[[#This Row],[codigo_producto]]))</f>
        <v>2906220U3400</v>
      </c>
      <c r="L1049" t="str">
        <f>LEFT(Tabla2[[#This Row],[codigo_producto]],FIND("/",Tabla2[[#This Row],[codigo_producto]])-1)</f>
        <v>7</v>
      </c>
      <c r="M104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50" spans="1:13" x14ac:dyDescent="0.25">
      <c r="A1050" t="s">
        <v>3868</v>
      </c>
      <c r="B1050" t="s">
        <v>2440</v>
      </c>
      <c r="C1050" t="s">
        <v>2440</v>
      </c>
      <c r="D1050">
        <v>32</v>
      </c>
      <c r="E1050">
        <v>5</v>
      </c>
      <c r="F1050">
        <v>9</v>
      </c>
      <c r="G1050">
        <v>12</v>
      </c>
      <c r="H1050" t="s">
        <v>2814</v>
      </c>
      <c r="I105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50" t="s">
        <v>1055</v>
      </c>
      <c r="K1050" t="str">
        <f>RIGHT(Tabla2[[#This Row],[codigo_producto]],LEN(Tabla2[[#This Row],[codigo_producto]])-FIND("/",Tabla2[[#This Row],[codigo_producto]]))</f>
        <v>2906220U8510</v>
      </c>
      <c r="L1050" t="str">
        <f>LEFT(Tabla2[[#This Row],[codigo_producto]],FIND("/",Tabla2[[#This Row],[codigo_producto]])-1)</f>
        <v>7</v>
      </c>
      <c r="M105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51" spans="1:13" x14ac:dyDescent="0.25">
      <c r="A1051" t="s">
        <v>3869</v>
      </c>
      <c r="B1051" t="s">
        <v>1823</v>
      </c>
      <c r="C1051" t="s">
        <v>1823</v>
      </c>
      <c r="D1051">
        <v>32</v>
      </c>
      <c r="E1051">
        <v>5</v>
      </c>
      <c r="F1051">
        <v>9</v>
      </c>
      <c r="G1051">
        <v>12</v>
      </c>
      <c r="H1051" t="s">
        <v>2814</v>
      </c>
      <c r="I105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51" t="s">
        <v>1056</v>
      </c>
      <c r="K1051" t="str">
        <f>RIGHT(Tabla2[[#This Row],[codigo_producto]],LEN(Tabla2[[#This Row],[codigo_producto]])-FIND("/",Tabla2[[#This Row],[codigo_producto]]))</f>
        <v>2911200U1910</v>
      </c>
      <c r="L1051" t="str">
        <f>LEFT(Tabla2[[#This Row],[codigo_producto]],FIND("/",Tabla2[[#This Row],[codigo_producto]])-1)</f>
        <v>7</v>
      </c>
      <c r="M105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52" spans="1:13" x14ac:dyDescent="0.25">
      <c r="A1052" t="s">
        <v>3870</v>
      </c>
      <c r="B1052" t="s">
        <v>2441</v>
      </c>
      <c r="C1052" t="s">
        <v>2441</v>
      </c>
      <c r="D1052">
        <v>32</v>
      </c>
      <c r="E1052">
        <v>5</v>
      </c>
      <c r="F1052">
        <v>9</v>
      </c>
      <c r="G1052">
        <v>12</v>
      </c>
      <c r="H1052" t="s">
        <v>2814</v>
      </c>
      <c r="I105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52" t="s">
        <v>1057</v>
      </c>
      <c r="K1052" t="str">
        <f>RIGHT(Tabla2[[#This Row],[codigo_producto]],LEN(Tabla2[[#This Row],[codigo_producto]])-FIND("/",Tabla2[[#This Row],[codigo_producto]]))</f>
        <v>2915010P3010</v>
      </c>
      <c r="L1052" t="str">
        <f>LEFT(Tabla2[[#This Row],[codigo_producto]],FIND("/",Tabla2[[#This Row],[codigo_producto]])-1)</f>
        <v>7</v>
      </c>
      <c r="M105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53" spans="1:13" x14ac:dyDescent="0.25">
      <c r="A1053" t="s">
        <v>3871</v>
      </c>
      <c r="B1053" t="s">
        <v>2442</v>
      </c>
      <c r="C1053" t="s">
        <v>2442</v>
      </c>
      <c r="D1053">
        <v>32</v>
      </c>
      <c r="E1053">
        <v>5</v>
      </c>
      <c r="F1053">
        <v>9</v>
      </c>
      <c r="G1053">
        <v>12</v>
      </c>
      <c r="H1053" t="s">
        <v>2814</v>
      </c>
      <c r="I105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53" t="s">
        <v>1058</v>
      </c>
      <c r="K1053" t="str">
        <f>RIGHT(Tabla2[[#This Row],[codigo_producto]],LEN(Tabla2[[#This Row],[codigo_producto]])-FIND("/",Tabla2[[#This Row],[codigo_producto]]))</f>
        <v>2915013P3010</v>
      </c>
      <c r="L1053" t="str">
        <f>LEFT(Tabla2[[#This Row],[codigo_producto]],FIND("/",Tabla2[[#This Row],[codigo_producto]])-1)</f>
        <v>7</v>
      </c>
      <c r="M105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54" spans="1:13" x14ac:dyDescent="0.25">
      <c r="A1054" t="s">
        <v>3872</v>
      </c>
      <c r="B1054" t="s">
        <v>2443</v>
      </c>
      <c r="C1054" t="s">
        <v>2443</v>
      </c>
      <c r="D1054">
        <v>32</v>
      </c>
      <c r="E1054">
        <v>5</v>
      </c>
      <c r="F1054">
        <v>9</v>
      </c>
      <c r="G1054">
        <v>12</v>
      </c>
      <c r="H1054" t="s">
        <v>2814</v>
      </c>
      <c r="I105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54" t="s">
        <v>1059</v>
      </c>
      <c r="K1054" t="str">
        <f>RIGHT(Tabla2[[#This Row],[codigo_producto]],LEN(Tabla2[[#This Row],[codigo_producto]])-FIND("/",Tabla2[[#This Row],[codigo_producto]]))</f>
        <v>3101032U2210</v>
      </c>
      <c r="L1054" t="str">
        <f>LEFT(Tabla2[[#This Row],[codigo_producto]],FIND("/",Tabla2[[#This Row],[codigo_producto]])-1)</f>
        <v>7</v>
      </c>
      <c r="M105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55" spans="1:13" x14ac:dyDescent="0.25">
      <c r="A1055" t="s">
        <v>3873</v>
      </c>
      <c r="B1055" t="s">
        <v>2040</v>
      </c>
      <c r="C1055" t="s">
        <v>2040</v>
      </c>
      <c r="D1055">
        <v>32</v>
      </c>
      <c r="E1055">
        <v>5</v>
      </c>
      <c r="F1055">
        <v>9</v>
      </c>
      <c r="G1055">
        <v>12</v>
      </c>
      <c r="H1055" t="s">
        <v>2814</v>
      </c>
      <c r="I105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55" t="s">
        <v>1060</v>
      </c>
      <c r="K1055" t="str">
        <f>RIGHT(Tabla2[[#This Row],[codigo_producto]],LEN(Tabla2[[#This Row],[codigo_producto]])-FIND("/",Tabla2[[#This Row],[codigo_producto]]))</f>
        <v>3103100P3060</v>
      </c>
      <c r="L1055" t="str">
        <f>LEFT(Tabla2[[#This Row],[codigo_producto]],FIND("/",Tabla2[[#This Row],[codigo_producto]])-1)</f>
        <v>7</v>
      </c>
      <c r="M105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56" spans="1:13" x14ac:dyDescent="0.25">
      <c r="A1056" t="s">
        <v>3874</v>
      </c>
      <c r="B1056" t="s">
        <v>2444</v>
      </c>
      <c r="C1056" t="s">
        <v>2444</v>
      </c>
      <c r="D1056">
        <v>32</v>
      </c>
      <c r="E1056">
        <v>5</v>
      </c>
      <c r="F1056">
        <v>9</v>
      </c>
      <c r="G1056">
        <v>12</v>
      </c>
      <c r="H1056" t="s">
        <v>2814</v>
      </c>
      <c r="I105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56" t="s">
        <v>1061</v>
      </c>
      <c r="K1056" t="str">
        <f>RIGHT(Tabla2[[#This Row],[codigo_producto]],LEN(Tabla2[[#This Row],[codigo_producto]])-FIND("/",Tabla2[[#This Row],[codigo_producto]]))</f>
        <v>3406030R0070</v>
      </c>
      <c r="L1056" t="str">
        <f>LEFT(Tabla2[[#This Row],[codigo_producto]],FIND("/",Tabla2[[#This Row],[codigo_producto]])-1)</f>
        <v>7</v>
      </c>
      <c r="M105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57" spans="1:13" x14ac:dyDescent="0.25">
      <c r="A1057" t="s">
        <v>3875</v>
      </c>
      <c r="B1057" t="s">
        <v>2445</v>
      </c>
      <c r="C1057" t="s">
        <v>2445</v>
      </c>
      <c r="D1057">
        <v>32</v>
      </c>
      <c r="E1057">
        <v>5</v>
      </c>
      <c r="F1057">
        <v>9</v>
      </c>
      <c r="G1057">
        <v>12</v>
      </c>
      <c r="H1057" t="s">
        <v>2814</v>
      </c>
      <c r="I105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57" t="s">
        <v>1062</v>
      </c>
      <c r="K1057" t="str">
        <f>RIGHT(Tabla2[[#This Row],[codigo_producto]],LEN(Tabla2[[#This Row],[codigo_producto]])-FIND("/",Tabla2[[#This Row],[codigo_producto]]))</f>
        <v>3501020P3010</v>
      </c>
      <c r="L1057" t="str">
        <f>LEFT(Tabla2[[#This Row],[codigo_producto]],FIND("/",Tabla2[[#This Row],[codigo_producto]])-1)</f>
        <v>7</v>
      </c>
      <c r="M105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58" spans="1:13" x14ac:dyDescent="0.25">
      <c r="A1058" t="s">
        <v>3876</v>
      </c>
      <c r="B1058" t="s">
        <v>1721</v>
      </c>
      <c r="C1058" t="s">
        <v>1721</v>
      </c>
      <c r="D1058">
        <v>32</v>
      </c>
      <c r="E1058">
        <v>5</v>
      </c>
      <c r="F1058">
        <v>9</v>
      </c>
      <c r="G1058">
        <v>12</v>
      </c>
      <c r="H1058" t="s">
        <v>2814</v>
      </c>
      <c r="I105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58" t="s">
        <v>1063</v>
      </c>
      <c r="K1058" t="str">
        <f>RIGHT(Tabla2[[#This Row],[codigo_producto]],LEN(Tabla2[[#This Row],[codigo_producto]])-FIND("/",Tabla2[[#This Row],[codigo_producto]]))</f>
        <v>3501050P3010</v>
      </c>
      <c r="L1058" t="str">
        <f>LEFT(Tabla2[[#This Row],[codigo_producto]],FIND("/",Tabla2[[#This Row],[codigo_producto]])-1)</f>
        <v>7</v>
      </c>
      <c r="M105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59" spans="1:13" x14ac:dyDescent="0.25">
      <c r="A1059" t="s">
        <v>3877</v>
      </c>
      <c r="B1059" t="s">
        <v>1721</v>
      </c>
      <c r="C1059" t="s">
        <v>1721</v>
      </c>
      <c r="D1059">
        <v>32</v>
      </c>
      <c r="E1059">
        <v>5</v>
      </c>
      <c r="F1059">
        <v>9</v>
      </c>
      <c r="G1059">
        <v>12</v>
      </c>
      <c r="H1059" t="s">
        <v>2814</v>
      </c>
      <c r="I105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59" t="s">
        <v>1064</v>
      </c>
      <c r="K1059" t="str">
        <f>RIGHT(Tabla2[[#This Row],[codigo_producto]],LEN(Tabla2[[#This Row],[codigo_producto]])-FIND("/",Tabla2[[#This Row],[codigo_producto]]))</f>
        <v>3503300S5500</v>
      </c>
      <c r="L1059" t="str">
        <f>LEFT(Tabla2[[#This Row],[codigo_producto]],FIND("/",Tabla2[[#This Row],[codigo_producto]])-1)</f>
        <v>7</v>
      </c>
      <c r="M105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60" spans="1:13" x14ac:dyDescent="0.25">
      <c r="A1060" t="s">
        <v>3878</v>
      </c>
      <c r="B1060" t="s">
        <v>1970</v>
      </c>
      <c r="C1060" t="s">
        <v>1970</v>
      </c>
      <c r="D1060">
        <v>32</v>
      </c>
      <c r="E1060">
        <v>5</v>
      </c>
      <c r="F1060">
        <v>9</v>
      </c>
      <c r="G1060">
        <v>12</v>
      </c>
      <c r="H1060" t="s">
        <v>2814</v>
      </c>
      <c r="I106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60" t="s">
        <v>1065</v>
      </c>
      <c r="K1060" t="str">
        <f>RIGHT(Tabla2[[#This Row],[codigo_producto]],LEN(Tabla2[[#This Row],[codigo_producto]])-FIND("/",Tabla2[[#This Row],[codigo_producto]]))</f>
        <v>3504050P3031</v>
      </c>
      <c r="L1060" t="str">
        <f>LEFT(Tabla2[[#This Row],[codigo_producto]],FIND("/",Tabla2[[#This Row],[codigo_producto]])-1)</f>
        <v>7</v>
      </c>
      <c r="M106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61" spans="1:13" x14ac:dyDescent="0.25">
      <c r="A1061" t="s">
        <v>3879</v>
      </c>
      <c r="B1061" t="s">
        <v>1970</v>
      </c>
      <c r="C1061" t="s">
        <v>1970</v>
      </c>
      <c r="D1061">
        <v>32</v>
      </c>
      <c r="E1061">
        <v>5</v>
      </c>
      <c r="F1061">
        <v>9</v>
      </c>
      <c r="G1061">
        <v>12</v>
      </c>
      <c r="H1061" t="s">
        <v>2814</v>
      </c>
      <c r="I106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61" t="s">
        <v>1066</v>
      </c>
      <c r="K1061" t="str">
        <f>RIGHT(Tabla2[[#This Row],[codigo_producto]],LEN(Tabla2[[#This Row],[codigo_producto]])-FIND("/",Tabla2[[#This Row],[codigo_producto]]))</f>
        <v>3504300P33A0</v>
      </c>
      <c r="L1061" t="str">
        <f>LEFT(Tabla2[[#This Row],[codigo_producto]],FIND("/",Tabla2[[#This Row],[codigo_producto]])-1)</f>
        <v>7</v>
      </c>
      <c r="M106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62" spans="1:13" x14ac:dyDescent="0.25">
      <c r="A1062" t="s">
        <v>3880</v>
      </c>
      <c r="B1062" t="s">
        <v>2446</v>
      </c>
      <c r="C1062" t="s">
        <v>2446</v>
      </c>
      <c r="D1062">
        <v>32</v>
      </c>
      <c r="E1062">
        <v>5</v>
      </c>
      <c r="F1062">
        <v>9</v>
      </c>
      <c r="G1062">
        <v>12</v>
      </c>
      <c r="H1062" t="s">
        <v>2814</v>
      </c>
      <c r="I106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62" t="s">
        <v>1067</v>
      </c>
      <c r="K1062" t="str">
        <f>RIGHT(Tabla2[[#This Row],[codigo_producto]],LEN(Tabla2[[#This Row],[codigo_producto]])-FIND("/",Tabla2[[#This Row],[codigo_producto]]))</f>
        <v>3540100U19AN</v>
      </c>
      <c r="L1062" t="str">
        <f>LEFT(Tabla2[[#This Row],[codigo_producto]],FIND("/",Tabla2[[#This Row],[codigo_producto]])-1)</f>
        <v>7</v>
      </c>
      <c r="M106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63" spans="1:13" x14ac:dyDescent="0.25">
      <c r="A1063" t="s">
        <v>3881</v>
      </c>
      <c r="B1063" t="s">
        <v>2447</v>
      </c>
      <c r="C1063" t="s">
        <v>2447</v>
      </c>
      <c r="D1063">
        <v>32</v>
      </c>
      <c r="E1063">
        <v>5</v>
      </c>
      <c r="F1063">
        <v>9</v>
      </c>
      <c r="G1063">
        <v>12</v>
      </c>
      <c r="H1063" t="s">
        <v>2814</v>
      </c>
      <c r="I106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63" t="s">
        <v>1068</v>
      </c>
      <c r="K1063" t="str">
        <f>RIGHT(Tabla2[[#This Row],[codigo_producto]],LEN(Tabla2[[#This Row],[codigo_producto]])-FIND("/",Tabla2[[#This Row],[codigo_producto]]))</f>
        <v>3550030P3031</v>
      </c>
      <c r="L1063" t="str">
        <f>LEFT(Tabla2[[#This Row],[codigo_producto]],FIND("/",Tabla2[[#This Row],[codigo_producto]])-1)</f>
        <v>7</v>
      </c>
      <c r="M106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64" spans="1:13" x14ac:dyDescent="0.25">
      <c r="A1064" t="s">
        <v>3882</v>
      </c>
      <c r="B1064" t="s">
        <v>2448</v>
      </c>
      <c r="C1064" t="s">
        <v>2448</v>
      </c>
      <c r="D1064">
        <v>32</v>
      </c>
      <c r="E1064">
        <v>5</v>
      </c>
      <c r="F1064">
        <v>9</v>
      </c>
      <c r="G1064">
        <v>12</v>
      </c>
      <c r="H1064" t="s">
        <v>2814</v>
      </c>
      <c r="I106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64" t="s">
        <v>1069</v>
      </c>
      <c r="K1064" t="str">
        <f>RIGHT(Tabla2[[#This Row],[codigo_producto]],LEN(Tabla2[[#This Row],[codigo_producto]])-FIND("/",Tabla2[[#This Row],[codigo_producto]]))</f>
        <v>3603200U7313</v>
      </c>
      <c r="L1064" t="str">
        <f>LEFT(Tabla2[[#This Row],[codigo_producto]],FIND("/",Tabla2[[#This Row],[codigo_producto]])-1)</f>
        <v>7</v>
      </c>
      <c r="M106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65" spans="1:13" x14ac:dyDescent="0.25">
      <c r="A1065" t="s">
        <v>3883</v>
      </c>
      <c r="B1065" t="s">
        <v>2449</v>
      </c>
      <c r="C1065" t="s">
        <v>2449</v>
      </c>
      <c r="D1065">
        <v>32</v>
      </c>
      <c r="E1065">
        <v>5</v>
      </c>
      <c r="F1065">
        <v>9</v>
      </c>
      <c r="G1065">
        <v>12</v>
      </c>
      <c r="H1065" t="s">
        <v>2814</v>
      </c>
      <c r="I106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65" t="s">
        <v>1070</v>
      </c>
      <c r="K1065" t="str">
        <f>RIGHT(Tabla2[[#This Row],[codigo_producto]],LEN(Tabla2[[#This Row],[codigo_producto]])-FIND("/",Tabla2[[#This Row],[codigo_producto]]))</f>
        <v>3667340U3480</v>
      </c>
      <c r="L1065" t="str">
        <f>LEFT(Tabla2[[#This Row],[codigo_producto]],FIND("/",Tabla2[[#This Row],[codigo_producto]])-1)</f>
        <v>7</v>
      </c>
      <c r="M106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66" spans="1:13" x14ac:dyDescent="0.25">
      <c r="A1066" t="s">
        <v>3884</v>
      </c>
      <c r="B1066" t="s">
        <v>2126</v>
      </c>
      <c r="C1066" t="s">
        <v>2126</v>
      </c>
      <c r="D1066">
        <v>32</v>
      </c>
      <c r="E1066">
        <v>5</v>
      </c>
      <c r="F1066">
        <v>9</v>
      </c>
      <c r="G1066">
        <v>12</v>
      </c>
      <c r="H1066" t="s">
        <v>2814</v>
      </c>
      <c r="I106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66" t="s">
        <v>1071</v>
      </c>
      <c r="K1066" t="str">
        <f>RIGHT(Tabla2[[#This Row],[codigo_producto]],LEN(Tabla2[[#This Row],[codigo_producto]])-FIND("/",Tabla2[[#This Row],[codigo_producto]]))</f>
        <v>3704020R0090</v>
      </c>
      <c r="L1066" t="str">
        <f>LEFT(Tabla2[[#This Row],[codigo_producto]],FIND("/",Tabla2[[#This Row],[codigo_producto]])-1)</f>
        <v>7</v>
      </c>
      <c r="M106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67" spans="1:13" x14ac:dyDescent="0.25">
      <c r="A1067" t="s">
        <v>3885</v>
      </c>
      <c r="B1067" t="s">
        <v>2450</v>
      </c>
      <c r="C1067" t="s">
        <v>2450</v>
      </c>
      <c r="D1067">
        <v>32</v>
      </c>
      <c r="E1067">
        <v>5</v>
      </c>
      <c r="F1067">
        <v>9</v>
      </c>
      <c r="G1067">
        <v>12</v>
      </c>
      <c r="H1067" t="s">
        <v>2814</v>
      </c>
      <c r="I106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67" t="s">
        <v>1072</v>
      </c>
      <c r="K1067" t="str">
        <f>RIGHT(Tabla2[[#This Row],[codigo_producto]],LEN(Tabla2[[#This Row],[codigo_producto]])-FIND("/",Tabla2[[#This Row],[codigo_producto]]))</f>
        <v>4003100P3334</v>
      </c>
      <c r="L1067" t="str">
        <f>LEFT(Tabla2[[#This Row],[codigo_producto]],FIND("/",Tabla2[[#This Row],[codigo_producto]])-1)</f>
        <v>7</v>
      </c>
      <c r="M106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68" spans="1:13" x14ac:dyDescent="0.25">
      <c r="A1068" t="s">
        <v>3886</v>
      </c>
      <c r="B1068" t="s">
        <v>2451</v>
      </c>
      <c r="C1068" t="s">
        <v>2451</v>
      </c>
      <c r="D1068">
        <v>32</v>
      </c>
      <c r="E1068">
        <v>5</v>
      </c>
      <c r="F1068">
        <v>9</v>
      </c>
      <c r="G1068">
        <v>12</v>
      </c>
      <c r="H1068" t="s">
        <v>2814</v>
      </c>
      <c r="I106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68" t="s">
        <v>1073</v>
      </c>
      <c r="K1068" t="str">
        <f>RIGHT(Tabla2[[#This Row],[codigo_producto]],LEN(Tabla2[[#This Row],[codigo_producto]])-FIND("/",Tabla2[[#This Row],[codigo_producto]]))</f>
        <v>4121400U2401</v>
      </c>
      <c r="L1068" t="str">
        <f>LEFT(Tabla2[[#This Row],[codigo_producto]],FIND("/",Tabla2[[#This Row],[codigo_producto]])-1)</f>
        <v>7</v>
      </c>
      <c r="M106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69" spans="1:13" x14ac:dyDescent="0.25">
      <c r="A1069" t="s">
        <v>3887</v>
      </c>
      <c r="B1069" t="s">
        <v>2452</v>
      </c>
      <c r="C1069" t="s">
        <v>2452</v>
      </c>
      <c r="D1069">
        <v>32</v>
      </c>
      <c r="E1069">
        <v>5</v>
      </c>
      <c r="F1069">
        <v>9</v>
      </c>
      <c r="G1069">
        <v>12</v>
      </c>
      <c r="H1069" t="s">
        <v>2814</v>
      </c>
      <c r="I106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69" t="s">
        <v>1074</v>
      </c>
      <c r="K1069" t="str">
        <f>RIGHT(Tabla2[[#This Row],[codigo_producto]],LEN(Tabla2[[#This Row],[codigo_producto]])-FIND("/",Tabla2[[#This Row],[codigo_producto]]))</f>
        <v>4133100P306A</v>
      </c>
      <c r="L1069" t="str">
        <f>LEFT(Tabla2[[#This Row],[codigo_producto]],FIND("/",Tabla2[[#This Row],[codigo_producto]])-1)</f>
        <v>7</v>
      </c>
      <c r="M106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70" spans="1:13" x14ac:dyDescent="0.25">
      <c r="A1070" t="s">
        <v>3888</v>
      </c>
      <c r="B1070" t="s">
        <v>2453</v>
      </c>
      <c r="C1070" t="s">
        <v>2453</v>
      </c>
      <c r="D1070">
        <v>32</v>
      </c>
      <c r="E1070">
        <v>5</v>
      </c>
      <c r="F1070">
        <v>9</v>
      </c>
      <c r="G1070">
        <v>12</v>
      </c>
      <c r="H1070" t="s">
        <v>2814</v>
      </c>
      <c r="I107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70" t="s">
        <v>1075</v>
      </c>
      <c r="K1070" t="str">
        <f>RIGHT(Tabla2[[#This Row],[codigo_producto]],LEN(Tabla2[[#This Row],[codigo_producto]])-FIND("/",Tabla2[[#This Row],[codigo_producto]]))</f>
        <v>4133300P306A</v>
      </c>
      <c r="L1070" t="str">
        <f>LEFT(Tabla2[[#This Row],[codigo_producto]],FIND("/",Tabla2[[#This Row],[codigo_producto]])-1)</f>
        <v>7</v>
      </c>
      <c r="M107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71" spans="1:13" x14ac:dyDescent="0.25">
      <c r="A1071" t="s">
        <v>3889</v>
      </c>
      <c r="B1071" t="s">
        <v>2454</v>
      </c>
      <c r="C1071" t="s">
        <v>2454</v>
      </c>
      <c r="D1071">
        <v>32</v>
      </c>
      <c r="E1071">
        <v>5</v>
      </c>
      <c r="F1071">
        <v>9</v>
      </c>
      <c r="G1071">
        <v>12</v>
      </c>
      <c r="H1071" t="s">
        <v>2814</v>
      </c>
      <c r="I107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71" t="s">
        <v>1076</v>
      </c>
      <c r="K1071" t="str">
        <f>RIGHT(Tabla2[[#This Row],[codigo_producto]],LEN(Tabla2[[#This Row],[codigo_producto]])-FIND("/",Tabla2[[#This Row],[codigo_producto]]))</f>
        <v>5001105P3010</v>
      </c>
      <c r="L1071" t="str">
        <f>LEFT(Tabla2[[#This Row],[codigo_producto]],FIND("/",Tabla2[[#This Row],[codigo_producto]])-1)</f>
        <v>7</v>
      </c>
      <c r="M107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72" spans="1:13" x14ac:dyDescent="0.25">
      <c r="A1072" t="s">
        <v>3890</v>
      </c>
      <c r="B1072" t="s">
        <v>2455</v>
      </c>
      <c r="C1072" t="s">
        <v>2455</v>
      </c>
      <c r="D1072">
        <v>32</v>
      </c>
      <c r="E1072">
        <v>5</v>
      </c>
      <c r="F1072">
        <v>9</v>
      </c>
      <c r="G1072">
        <v>12</v>
      </c>
      <c r="H1072" t="s">
        <v>2814</v>
      </c>
      <c r="I107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72" t="s">
        <v>1077</v>
      </c>
      <c r="K1072" t="str">
        <f>RIGHT(Tabla2[[#This Row],[codigo_producto]],LEN(Tabla2[[#This Row],[codigo_producto]])-FIND("/",Tabla2[[#This Row],[codigo_producto]]))</f>
        <v>5205080U3400</v>
      </c>
      <c r="L1072" t="str">
        <f>LEFT(Tabla2[[#This Row],[codigo_producto]],FIND("/",Tabla2[[#This Row],[codigo_producto]])-1)</f>
        <v>7</v>
      </c>
      <c r="M107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73" spans="1:13" x14ac:dyDescent="0.25">
      <c r="A1073" t="s">
        <v>3891</v>
      </c>
      <c r="B1073" t="s">
        <v>2456</v>
      </c>
      <c r="C1073" t="s">
        <v>2456</v>
      </c>
      <c r="D1073">
        <v>32</v>
      </c>
      <c r="E1073">
        <v>5</v>
      </c>
      <c r="F1073">
        <v>9</v>
      </c>
      <c r="G1073">
        <v>12</v>
      </c>
      <c r="H1073" t="s">
        <v>2814</v>
      </c>
      <c r="I107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73" t="s">
        <v>1078</v>
      </c>
      <c r="K1073" t="str">
        <f>RIGHT(Tabla2[[#This Row],[codigo_producto]],LEN(Tabla2[[#This Row],[codigo_producto]])-FIND("/",Tabla2[[#This Row],[codigo_producto]]))</f>
        <v>5207100U3480</v>
      </c>
      <c r="L1073" t="str">
        <f>LEFT(Tabla2[[#This Row],[codigo_producto]],FIND("/",Tabla2[[#This Row],[codigo_producto]])-1)</f>
        <v>7</v>
      </c>
      <c r="M107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74" spans="1:13" x14ac:dyDescent="0.25">
      <c r="A1074" t="s">
        <v>3892</v>
      </c>
      <c r="B1074" t="s">
        <v>2457</v>
      </c>
      <c r="C1074" t="s">
        <v>2457</v>
      </c>
      <c r="D1074">
        <v>32</v>
      </c>
      <c r="E1074">
        <v>5</v>
      </c>
      <c r="F1074">
        <v>9</v>
      </c>
      <c r="G1074">
        <v>12</v>
      </c>
      <c r="H1074" t="s">
        <v>2814</v>
      </c>
      <c r="I107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74" t="s">
        <v>1079</v>
      </c>
      <c r="K1074" t="str">
        <f>RIGHT(Tabla2[[#This Row],[codigo_producto]],LEN(Tabla2[[#This Row],[codigo_producto]])-FIND("/",Tabla2[[#This Row],[codigo_producto]]))</f>
        <v>5512700P306A</v>
      </c>
      <c r="L1074" t="str">
        <f>LEFT(Tabla2[[#This Row],[codigo_producto]],FIND("/",Tabla2[[#This Row],[codigo_producto]])-1)</f>
        <v>7</v>
      </c>
      <c r="M107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75" spans="1:13" x14ac:dyDescent="0.25">
      <c r="A1075" t="s">
        <v>3893</v>
      </c>
      <c r="B1075" t="s">
        <v>2458</v>
      </c>
      <c r="C1075" t="s">
        <v>2458</v>
      </c>
      <c r="D1075">
        <v>32</v>
      </c>
      <c r="E1075">
        <v>5</v>
      </c>
      <c r="F1075">
        <v>9</v>
      </c>
      <c r="G1075">
        <v>12</v>
      </c>
      <c r="H1075" t="s">
        <v>2814</v>
      </c>
      <c r="I107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75" t="s">
        <v>1080</v>
      </c>
      <c r="K1075" t="str">
        <f>RIGHT(Tabla2[[#This Row],[codigo_producto]],LEN(Tabla2[[#This Row],[codigo_producto]])-FIND("/",Tabla2[[#This Row],[codigo_producto]]))</f>
        <v>5512800P306A</v>
      </c>
      <c r="L1075" t="str">
        <f>LEFT(Tabla2[[#This Row],[codigo_producto]],FIND("/",Tabla2[[#This Row],[codigo_producto]])-1)</f>
        <v>7</v>
      </c>
      <c r="M107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76" spans="1:13" x14ac:dyDescent="0.25">
      <c r="A1076" t="s">
        <v>3894</v>
      </c>
      <c r="B1076" t="s">
        <v>2459</v>
      </c>
      <c r="C1076" t="s">
        <v>2459</v>
      </c>
      <c r="D1076">
        <v>32</v>
      </c>
      <c r="E1076">
        <v>5</v>
      </c>
      <c r="F1076">
        <v>9</v>
      </c>
      <c r="G1076">
        <v>12</v>
      </c>
      <c r="H1076" t="s">
        <v>2814</v>
      </c>
      <c r="I107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76" t="s">
        <v>1081</v>
      </c>
      <c r="K1076" t="str">
        <f>RIGHT(Tabla2[[#This Row],[codigo_producto]],LEN(Tabla2[[#This Row],[codigo_producto]])-FIND("/",Tabla2[[#This Row],[codigo_producto]]))</f>
        <v>5522300P306A</v>
      </c>
      <c r="L1076" t="str">
        <f>LEFT(Tabla2[[#This Row],[codigo_producto]],FIND("/",Tabla2[[#This Row],[codigo_producto]])-1)</f>
        <v>7</v>
      </c>
      <c r="M107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77" spans="1:13" x14ac:dyDescent="0.25">
      <c r="A1077" t="s">
        <v>3895</v>
      </c>
      <c r="B1077" t="s">
        <v>2460</v>
      </c>
      <c r="C1077" t="s">
        <v>2460</v>
      </c>
      <c r="D1077">
        <v>32</v>
      </c>
      <c r="E1077">
        <v>5</v>
      </c>
      <c r="F1077">
        <v>9</v>
      </c>
      <c r="G1077">
        <v>12</v>
      </c>
      <c r="H1077" t="s">
        <v>2814</v>
      </c>
      <c r="I107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77" t="s">
        <v>1082</v>
      </c>
      <c r="K1077" t="str">
        <f>RIGHT(Tabla2[[#This Row],[codigo_producto]],LEN(Tabla2[[#This Row],[codigo_producto]])-FIND("/",Tabla2[[#This Row],[codigo_producto]]))</f>
        <v>6205280S5500</v>
      </c>
      <c r="L1077" t="str">
        <f>LEFT(Tabla2[[#This Row],[codigo_producto]],FIND("/",Tabla2[[#This Row],[codigo_producto]])-1)</f>
        <v>7</v>
      </c>
      <c r="M107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78" spans="1:13" x14ac:dyDescent="0.25">
      <c r="A1078" t="s">
        <v>3896</v>
      </c>
      <c r="B1078" t="s">
        <v>2461</v>
      </c>
      <c r="C1078" t="s">
        <v>2461</v>
      </c>
      <c r="D1078">
        <v>32</v>
      </c>
      <c r="E1078">
        <v>5</v>
      </c>
      <c r="F1078">
        <v>9</v>
      </c>
      <c r="G1078">
        <v>12</v>
      </c>
      <c r="H1078" t="s">
        <v>2814</v>
      </c>
      <c r="I107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78" t="s">
        <v>1083</v>
      </c>
      <c r="K1078" t="str">
        <f>RIGHT(Tabla2[[#This Row],[codigo_producto]],LEN(Tabla2[[#This Row],[codigo_producto]])-FIND("/",Tabla2[[#This Row],[codigo_producto]]))</f>
        <v>7911030V6533</v>
      </c>
      <c r="L1078" t="str">
        <f>LEFT(Tabla2[[#This Row],[codigo_producto]],FIND("/",Tabla2[[#This Row],[codigo_producto]])-1)</f>
        <v>7</v>
      </c>
      <c r="M107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79" spans="1:13" x14ac:dyDescent="0.25">
      <c r="A1079" t="s">
        <v>3897</v>
      </c>
      <c r="B1079" t="s">
        <v>2462</v>
      </c>
      <c r="C1079" t="s">
        <v>2462</v>
      </c>
      <c r="D1079">
        <v>32</v>
      </c>
      <c r="E1079">
        <v>5</v>
      </c>
      <c r="F1079">
        <v>9</v>
      </c>
      <c r="G1079">
        <v>12</v>
      </c>
      <c r="H1079" t="s">
        <v>2814</v>
      </c>
      <c r="I107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79" t="s">
        <v>1084</v>
      </c>
      <c r="K1079" t="str">
        <f>RIGHT(Tabla2[[#This Row],[codigo_producto]],LEN(Tabla2[[#This Row],[codigo_producto]])-FIND("/",Tabla2[[#This Row],[codigo_producto]]))</f>
        <v>8100101P3010</v>
      </c>
      <c r="L1079" t="str">
        <f>LEFT(Tabla2[[#This Row],[codigo_producto]],FIND("/",Tabla2[[#This Row],[codigo_producto]])-1)</f>
        <v>7</v>
      </c>
      <c r="M107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80" spans="1:13" x14ac:dyDescent="0.25">
      <c r="A1080" t="s">
        <v>3898</v>
      </c>
      <c r="B1080" t="s">
        <v>1918</v>
      </c>
      <c r="C1080" t="s">
        <v>1918</v>
      </c>
      <c r="D1080">
        <v>32</v>
      </c>
      <c r="E1080">
        <v>5</v>
      </c>
      <c r="F1080">
        <v>9</v>
      </c>
      <c r="G1080">
        <v>12</v>
      </c>
      <c r="H1080" t="s">
        <v>2814</v>
      </c>
      <c r="I108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80" t="s">
        <v>1085</v>
      </c>
      <c r="K1080" t="str">
        <f>RIGHT(Tabla2[[#This Row],[codigo_producto]],LEN(Tabla2[[#This Row],[codigo_producto]])-FIND("/",Tabla2[[#This Row],[codigo_producto]]))</f>
        <v>8104102P3010</v>
      </c>
      <c r="L1080" t="str">
        <f>LEFT(Tabla2[[#This Row],[codigo_producto]],FIND("/",Tabla2[[#This Row],[codigo_producto]])-1)</f>
        <v>7</v>
      </c>
      <c r="M108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81" spans="1:13" x14ac:dyDescent="0.25">
      <c r="A1081" t="s">
        <v>3899</v>
      </c>
      <c r="B1081" t="s">
        <v>2463</v>
      </c>
      <c r="C1081" t="s">
        <v>2463</v>
      </c>
      <c r="D1081">
        <v>32</v>
      </c>
      <c r="E1081">
        <v>5</v>
      </c>
      <c r="F1081">
        <v>9</v>
      </c>
      <c r="G1081">
        <v>12</v>
      </c>
      <c r="H1081" t="s">
        <v>2814</v>
      </c>
      <c r="I108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81" t="s">
        <v>1086</v>
      </c>
      <c r="K1081" t="str">
        <f>RIGHT(Tabla2[[#This Row],[codigo_producto]],LEN(Tabla2[[#This Row],[codigo_producto]])-FIND("/",Tabla2[[#This Row],[codigo_producto]]))</f>
        <v>8113120G1P10</v>
      </c>
      <c r="L1081" t="str">
        <f>LEFT(Tabla2[[#This Row],[codigo_producto]],FIND("/",Tabla2[[#This Row],[codigo_producto]])-1)</f>
        <v>7</v>
      </c>
      <c r="M108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82" spans="1:13" x14ac:dyDescent="0.25">
      <c r="A1082" t="s">
        <v>3900</v>
      </c>
      <c r="B1082" t="s">
        <v>2464</v>
      </c>
      <c r="C1082" t="s">
        <v>2464</v>
      </c>
      <c r="D1082">
        <v>32</v>
      </c>
      <c r="E1082">
        <v>5</v>
      </c>
      <c r="F1082">
        <v>9</v>
      </c>
      <c r="G1082">
        <v>12</v>
      </c>
      <c r="H1082" t="s">
        <v>2814</v>
      </c>
      <c r="I108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82" t="s">
        <v>1087</v>
      </c>
      <c r="K1082" t="str">
        <f>RIGHT(Tabla2[[#This Row],[codigo_producto]],LEN(Tabla2[[#This Row],[codigo_producto]])-FIND("/",Tabla2[[#This Row],[codigo_producto]]))</f>
        <v>8401500P306A</v>
      </c>
      <c r="L1082" t="str">
        <f>LEFT(Tabla2[[#This Row],[codigo_producto]],FIND("/",Tabla2[[#This Row],[codigo_producto]])-1)</f>
        <v>7</v>
      </c>
      <c r="M108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83" spans="1:13" x14ac:dyDescent="0.25">
      <c r="A1083" t="s">
        <v>3901</v>
      </c>
      <c r="B1083" t="s">
        <v>2465</v>
      </c>
      <c r="C1083" t="s">
        <v>2465</v>
      </c>
      <c r="D1083">
        <v>32</v>
      </c>
      <c r="E1083">
        <v>5</v>
      </c>
      <c r="F1083">
        <v>9</v>
      </c>
      <c r="G1083">
        <v>12</v>
      </c>
      <c r="H1083" t="s">
        <v>2814</v>
      </c>
      <c r="I108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83" t="s">
        <v>1088</v>
      </c>
      <c r="K1083" t="str">
        <f>RIGHT(Tabla2[[#This Row],[codigo_producto]],LEN(Tabla2[[#This Row],[codigo_producto]])-FIND("/",Tabla2[[#This Row],[codigo_producto]]))</f>
        <v>8506300P3011</v>
      </c>
      <c r="L1083" t="str">
        <f>LEFT(Tabla2[[#This Row],[codigo_producto]],FIND("/",Tabla2[[#This Row],[codigo_producto]])-1)</f>
        <v>7</v>
      </c>
      <c r="M108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84" spans="1:13" x14ac:dyDescent="0.25">
      <c r="A1084" t="s">
        <v>3902</v>
      </c>
      <c r="B1084" t="s">
        <v>2466</v>
      </c>
      <c r="C1084" t="s">
        <v>2466</v>
      </c>
      <c r="D1084">
        <v>32</v>
      </c>
      <c r="E1084">
        <v>5</v>
      </c>
      <c r="F1084">
        <v>9</v>
      </c>
      <c r="G1084">
        <v>12</v>
      </c>
      <c r="H1084" t="s">
        <v>2814</v>
      </c>
      <c r="I108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84" t="s">
        <v>1089</v>
      </c>
      <c r="K1084" t="str">
        <f>RIGHT(Tabla2[[#This Row],[codigo_producto]],LEN(Tabla2[[#This Row],[codigo_producto]])-FIND("/",Tabla2[[#This Row],[codigo_producto]]))</f>
        <v>H106-3411705</v>
      </c>
      <c r="L1084" t="str">
        <f>LEFT(Tabla2[[#This Row],[codigo_producto]],FIND("/",Tabla2[[#This Row],[codigo_producto]])-1)</f>
        <v>7</v>
      </c>
      <c r="M108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85" spans="1:13" x14ac:dyDescent="0.25">
      <c r="A1085" t="s">
        <v>3903</v>
      </c>
      <c r="B1085" t="s">
        <v>2467</v>
      </c>
      <c r="C1085" t="s">
        <v>2467</v>
      </c>
      <c r="D1085">
        <v>32</v>
      </c>
      <c r="E1085">
        <v>5</v>
      </c>
      <c r="F1085">
        <v>9</v>
      </c>
      <c r="G1085">
        <v>12</v>
      </c>
      <c r="H1085" t="s">
        <v>2814</v>
      </c>
      <c r="I108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85" t="s">
        <v>1090</v>
      </c>
      <c r="K1085" t="str">
        <f>RIGHT(Tabla2[[#This Row],[codigo_producto]],LEN(Tabla2[[#This Row],[codigo_producto]])-FIND("/",Tabla2[[#This Row],[codigo_producto]]))</f>
        <v>H106-3411725</v>
      </c>
      <c r="L1085" t="str">
        <f>LEFT(Tabla2[[#This Row],[codigo_producto]],FIND("/",Tabla2[[#This Row],[codigo_producto]])-1)</f>
        <v>7</v>
      </c>
      <c r="M108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86" spans="1:13" x14ac:dyDescent="0.25">
      <c r="A1086" t="s">
        <v>3904</v>
      </c>
      <c r="B1086" t="s">
        <v>2468</v>
      </c>
      <c r="C1086" t="s">
        <v>2468</v>
      </c>
      <c r="D1086">
        <v>32</v>
      </c>
      <c r="E1086">
        <v>5</v>
      </c>
      <c r="F1086">
        <v>9</v>
      </c>
      <c r="G1086">
        <v>12</v>
      </c>
      <c r="H1086" t="s">
        <v>2814</v>
      </c>
      <c r="I108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86" t="s">
        <v>1091</v>
      </c>
      <c r="K1086" t="str">
        <f>RIGHT(Tabla2[[#This Row],[codigo_producto]],LEN(Tabla2[[#This Row],[codigo_producto]])-FIND("/",Tabla2[[#This Row],[codigo_producto]]))</f>
        <v>KITSEGREFINE</v>
      </c>
      <c r="L1086" t="str">
        <f>LEFT(Tabla2[[#This Row],[codigo_producto]],FIND("/",Tabla2[[#This Row],[codigo_producto]])-1)</f>
        <v>7</v>
      </c>
      <c r="M108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87" spans="1:13" x14ac:dyDescent="0.25">
      <c r="A1087" t="s">
        <v>3905</v>
      </c>
      <c r="B1087" t="s">
        <v>2469</v>
      </c>
      <c r="C1087" t="s">
        <v>2469</v>
      </c>
      <c r="D1087">
        <v>22</v>
      </c>
      <c r="E1087">
        <v>5</v>
      </c>
      <c r="F1087">
        <v>9</v>
      </c>
      <c r="G1087">
        <v>12</v>
      </c>
      <c r="H1087" t="s">
        <v>2815</v>
      </c>
      <c r="I108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1087" t="s">
        <v>1092</v>
      </c>
      <c r="K1087" t="str">
        <f>RIGHT(Tabla2[[#This Row],[codigo_producto]],LEN(Tabla2[[#This Row],[codigo_producto]])-FIND("/",Tabla2[[#This Row],[codigo_producto]]))</f>
        <v>PROTTOLVAJAC</v>
      </c>
      <c r="L1087" t="str">
        <f>LEFT(Tabla2[[#This Row],[codigo_producto]],FIND("/",Tabla2[[#This Row],[codigo_producto]])-1)</f>
        <v>7</v>
      </c>
      <c r="M108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88" spans="1:13" x14ac:dyDescent="0.25">
      <c r="A1088" t="s">
        <v>3906</v>
      </c>
      <c r="B1088" t="s">
        <v>1715</v>
      </c>
      <c r="C1088" t="s">
        <v>1715</v>
      </c>
      <c r="D1088">
        <v>32</v>
      </c>
      <c r="E1088">
        <v>5</v>
      </c>
      <c r="F1088">
        <v>9</v>
      </c>
      <c r="G1088">
        <v>12</v>
      </c>
      <c r="H1088" t="s">
        <v>2814</v>
      </c>
      <c r="I108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88" t="s">
        <v>1093</v>
      </c>
      <c r="K1088" t="str">
        <f>RIGHT(Tabla2[[#This Row],[codigo_producto]],LEN(Tabla2[[#This Row],[codigo_producto]])-FIND("/",Tabla2[[#This Row],[codigo_producto]]))</f>
        <v>S11090010-A7</v>
      </c>
      <c r="L1088" t="str">
        <f>LEFT(Tabla2[[#This Row],[codigo_producto]],FIND("/",Tabla2[[#This Row],[codigo_producto]])-1)</f>
        <v>7</v>
      </c>
      <c r="M108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89" spans="1:13" x14ac:dyDescent="0.25">
      <c r="A1089" t="s">
        <v>3907</v>
      </c>
      <c r="B1089" t="s">
        <v>2470</v>
      </c>
      <c r="C1089" t="s">
        <v>2470</v>
      </c>
      <c r="D1089">
        <v>32</v>
      </c>
      <c r="E1089">
        <v>5</v>
      </c>
      <c r="F1089">
        <v>9</v>
      </c>
      <c r="G1089">
        <v>12</v>
      </c>
      <c r="H1089" t="s">
        <v>2814</v>
      </c>
      <c r="I108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89" t="s">
        <v>1094</v>
      </c>
      <c r="K1089" t="str">
        <f>RIGHT(Tabla2[[#This Row],[codigo_producto]],LEN(Tabla2[[#This Row],[codigo_producto]])-FIND("/",Tabla2[[#This Row],[codigo_producto]]))</f>
        <v>S35020010-F3</v>
      </c>
      <c r="L1089" t="str">
        <f>LEFT(Tabla2[[#This Row],[codigo_producto]],FIND("/",Tabla2[[#This Row],[codigo_producto]])-1)</f>
        <v>7</v>
      </c>
      <c r="M108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90" spans="1:13" x14ac:dyDescent="0.25">
      <c r="A1090" t="s">
        <v>3908</v>
      </c>
      <c r="B1090" t="s">
        <v>2471</v>
      </c>
      <c r="C1090" t="s">
        <v>2471</v>
      </c>
      <c r="D1090">
        <v>32</v>
      </c>
      <c r="E1090">
        <v>5</v>
      </c>
      <c r="F1090">
        <v>9</v>
      </c>
      <c r="G1090">
        <v>12</v>
      </c>
      <c r="H1090" t="s">
        <v>2814</v>
      </c>
      <c r="I109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90" t="s">
        <v>1095</v>
      </c>
      <c r="K1090" t="str">
        <f>RIGHT(Tabla2[[#This Row],[codigo_producto]],LEN(Tabla2[[#This Row],[codigo_producto]])-FIND("/",Tabla2[[#This Row],[codigo_producto]]))</f>
        <v>S37410070-D1</v>
      </c>
      <c r="L1090" t="str">
        <f>LEFT(Tabla2[[#This Row],[codigo_producto]],FIND("/",Tabla2[[#This Row],[codigo_producto]])-1)</f>
        <v>7</v>
      </c>
      <c r="M109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91" spans="1:13" x14ac:dyDescent="0.25">
      <c r="A1091" t="s">
        <v>3909</v>
      </c>
      <c r="B1091" t="s">
        <v>2472</v>
      </c>
      <c r="C1091" t="s">
        <v>2472</v>
      </c>
      <c r="D1091">
        <v>32</v>
      </c>
      <c r="E1091">
        <v>11</v>
      </c>
      <c r="F1091">
        <v>9</v>
      </c>
      <c r="G1091">
        <v>12</v>
      </c>
      <c r="H1091" t="s">
        <v>2814</v>
      </c>
      <c r="I109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91" t="s">
        <v>1096</v>
      </c>
      <c r="K1091" t="str">
        <f>RIGHT(Tabla2[[#This Row],[codigo_producto]],LEN(Tabla2[[#This Row],[codigo_producto]])-FIND("/",Tabla2[[#This Row],[codigo_producto]]))</f>
        <v>60009SJ0109P</v>
      </c>
      <c r="L1091" t="str">
        <f>LEFT(Tabla2[[#This Row],[codigo_producto]],FIND("/",Tabla2[[#This Row],[codigo_producto]])-1)</f>
        <v>9</v>
      </c>
      <c r="M109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11</v>
      </c>
    </row>
    <row r="1092" spans="1:13" x14ac:dyDescent="0.25">
      <c r="A1092" t="s">
        <v>3910</v>
      </c>
      <c r="B1092" t="s">
        <v>1839</v>
      </c>
      <c r="C1092" t="s">
        <v>1839</v>
      </c>
      <c r="D1092">
        <v>32</v>
      </c>
      <c r="E1092">
        <v>8</v>
      </c>
      <c r="F1092">
        <v>9</v>
      </c>
      <c r="G1092">
        <v>12</v>
      </c>
      <c r="H1092" t="s">
        <v>2814</v>
      </c>
      <c r="I109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92" t="s">
        <v>1097</v>
      </c>
      <c r="K1092" t="str">
        <f>RIGHT(Tabla2[[#This Row],[codigo_producto]],LEN(Tabla2[[#This Row],[codigo_producto]])-FIND("/",Tabla2[[#This Row],[codigo_producto]]))</f>
        <v>0948200427000</v>
      </c>
      <c r="L1092" t="str">
        <f>LEFT(Tabla2[[#This Row],[codigo_producto]],FIND("/",Tabla2[[#This Row],[codigo_producto]])-1)</f>
        <v>1</v>
      </c>
      <c r="M109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093" spans="1:13" x14ac:dyDescent="0.25">
      <c r="A1093" t="s">
        <v>3911</v>
      </c>
      <c r="B1093" t="s">
        <v>1839</v>
      </c>
      <c r="C1093" t="s">
        <v>1839</v>
      </c>
      <c r="D1093">
        <v>32</v>
      </c>
      <c r="E1093">
        <v>8</v>
      </c>
      <c r="F1093">
        <v>9</v>
      </c>
      <c r="G1093">
        <v>12</v>
      </c>
      <c r="H1093" t="s">
        <v>2814</v>
      </c>
      <c r="I109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93" t="s">
        <v>1098</v>
      </c>
      <c r="K1093" t="str">
        <f>RIGHT(Tabla2[[#This Row],[codigo_producto]],LEN(Tabla2[[#This Row],[codigo_producto]])-FIND("/",Tabla2[[#This Row],[codigo_producto]]))</f>
        <v>0948200642000</v>
      </c>
      <c r="L1093" t="str">
        <f>LEFT(Tabla2[[#This Row],[codigo_producto]],FIND("/",Tabla2[[#This Row],[codigo_producto]])-1)</f>
        <v>1</v>
      </c>
      <c r="M109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094" spans="1:13" x14ac:dyDescent="0.25">
      <c r="A1094" t="s">
        <v>3912</v>
      </c>
      <c r="B1094" t="s">
        <v>1839</v>
      </c>
      <c r="C1094" t="s">
        <v>1839</v>
      </c>
      <c r="D1094">
        <v>32</v>
      </c>
      <c r="E1094">
        <v>8</v>
      </c>
      <c r="F1094">
        <v>9</v>
      </c>
      <c r="G1094">
        <v>12</v>
      </c>
      <c r="H1094" t="s">
        <v>2814</v>
      </c>
      <c r="I109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94" t="s">
        <v>1099</v>
      </c>
      <c r="K1094" t="str">
        <f>RIGHT(Tabla2[[#This Row],[codigo_producto]],LEN(Tabla2[[#This Row],[codigo_producto]])-FIND("/",Tabla2[[#This Row],[codigo_producto]]))</f>
        <v>0948200647000</v>
      </c>
      <c r="L1094" t="str">
        <f>LEFT(Tabla2[[#This Row],[codigo_producto]],FIND("/",Tabla2[[#This Row],[codigo_producto]])-1)</f>
        <v>1</v>
      </c>
      <c r="M109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095" spans="1:13" x14ac:dyDescent="0.25">
      <c r="A1095" t="s">
        <v>3913</v>
      </c>
      <c r="B1095" t="s">
        <v>2473</v>
      </c>
      <c r="C1095" t="s">
        <v>2473</v>
      </c>
      <c r="D1095">
        <v>32</v>
      </c>
      <c r="E1095">
        <v>8</v>
      </c>
      <c r="F1095">
        <v>9</v>
      </c>
      <c r="G1095">
        <v>12</v>
      </c>
      <c r="H1095" t="s">
        <v>2814</v>
      </c>
      <c r="I109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95" t="s">
        <v>1100</v>
      </c>
      <c r="K1095" t="str">
        <f>RIGHT(Tabla2[[#This Row],[codigo_producto]],LEN(Tabla2[[#This Row],[codigo_producto]])-FIND("/",Tabla2[[#This Row],[codigo_producto]]))</f>
        <v>1117969G01000</v>
      </c>
      <c r="L1095" t="str">
        <f>LEFT(Tabla2[[#This Row],[codigo_producto]],FIND("/",Tabla2[[#This Row],[codigo_producto]])-1)</f>
        <v>1</v>
      </c>
      <c r="M109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096" spans="1:13" x14ac:dyDescent="0.25">
      <c r="A1096" t="s">
        <v>3914</v>
      </c>
      <c r="B1096" t="s">
        <v>2474</v>
      </c>
      <c r="C1096" t="s">
        <v>2474</v>
      </c>
      <c r="D1096">
        <v>32</v>
      </c>
      <c r="E1096">
        <v>8</v>
      </c>
      <c r="F1096">
        <v>9</v>
      </c>
      <c r="G1096">
        <v>12</v>
      </c>
      <c r="H1096" t="s">
        <v>2814</v>
      </c>
      <c r="I109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96" t="s">
        <v>1101</v>
      </c>
      <c r="K1096" t="str">
        <f>RIGHT(Tabla2[[#This Row],[codigo_producto]],LEN(Tabla2[[#This Row],[codigo_producto]])-FIND("/",Tabla2[[#This Row],[codigo_producto]]))</f>
        <v>1118962R10000</v>
      </c>
      <c r="L1096" t="str">
        <f>LEFT(Tabla2[[#This Row],[codigo_producto]],FIND("/",Tabla2[[#This Row],[codigo_producto]])-1)</f>
        <v>1</v>
      </c>
      <c r="M109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097" spans="1:13" x14ac:dyDescent="0.25">
      <c r="A1097" t="s">
        <v>3915</v>
      </c>
      <c r="B1097" t="s">
        <v>2475</v>
      </c>
      <c r="C1097" t="s">
        <v>2475</v>
      </c>
      <c r="D1097">
        <v>32</v>
      </c>
      <c r="E1097">
        <v>8</v>
      </c>
      <c r="F1097">
        <v>9</v>
      </c>
      <c r="G1097">
        <v>12</v>
      </c>
      <c r="H1097" t="s">
        <v>2814</v>
      </c>
      <c r="I109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97" t="s">
        <v>1102</v>
      </c>
      <c r="K1097" t="str">
        <f>RIGHT(Tabla2[[#This Row],[codigo_producto]],LEN(Tabla2[[#This Row],[codigo_producto]])-FIND("/",Tabla2[[#This Row],[codigo_producto]]))</f>
        <v>1161073R01000</v>
      </c>
      <c r="L1097" t="str">
        <f>LEFT(Tabla2[[#This Row],[codigo_producto]],FIND("/",Tabla2[[#This Row],[codigo_producto]])-1)</f>
        <v>1</v>
      </c>
      <c r="M109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098" spans="1:13" x14ac:dyDescent="0.25">
      <c r="A1098" t="s">
        <v>3916</v>
      </c>
      <c r="B1098" t="s">
        <v>1724</v>
      </c>
      <c r="C1098" t="s">
        <v>1724</v>
      </c>
      <c r="D1098">
        <v>32</v>
      </c>
      <c r="E1098">
        <v>8</v>
      </c>
      <c r="F1098">
        <v>9</v>
      </c>
      <c r="G1098">
        <v>12</v>
      </c>
      <c r="H1098" t="s">
        <v>2814</v>
      </c>
      <c r="I109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98" t="s">
        <v>1103</v>
      </c>
      <c r="K1098" t="str">
        <f>RIGHT(Tabla2[[#This Row],[codigo_producto]],LEN(Tabla2[[#This Row],[codigo_producto]])-FIND("/",Tabla2[[#This Row],[codigo_producto]]))</f>
        <v>1276162M00000</v>
      </c>
      <c r="L1098" t="str">
        <f>LEFT(Tabla2[[#This Row],[codigo_producto]],FIND("/",Tabla2[[#This Row],[codigo_producto]])-1)</f>
        <v>1</v>
      </c>
      <c r="M109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099" spans="1:13" x14ac:dyDescent="0.25">
      <c r="A1099" t="s">
        <v>3917</v>
      </c>
      <c r="B1099" t="s">
        <v>1882</v>
      </c>
      <c r="C1099" t="s">
        <v>1882</v>
      </c>
      <c r="D1099">
        <v>32</v>
      </c>
      <c r="E1099">
        <v>8</v>
      </c>
      <c r="F1099">
        <v>9</v>
      </c>
      <c r="G1099">
        <v>12</v>
      </c>
      <c r="H1099" t="s">
        <v>2814</v>
      </c>
      <c r="I109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99" t="s">
        <v>1104</v>
      </c>
      <c r="K1099" t="str">
        <f>RIGHT(Tabla2[[#This Row],[codigo_producto]],LEN(Tabla2[[#This Row],[codigo_producto]])-FIND("/",Tabla2[[#This Row],[codigo_producto]]))</f>
        <v>1276167J00000</v>
      </c>
      <c r="L1099" t="str">
        <f>LEFT(Tabla2[[#This Row],[codigo_producto]],FIND("/",Tabla2[[#This Row],[codigo_producto]])-1)</f>
        <v>1</v>
      </c>
      <c r="M109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00" spans="1:13" x14ac:dyDescent="0.25">
      <c r="A1100" t="s">
        <v>3918</v>
      </c>
      <c r="B1100" t="s">
        <v>2476</v>
      </c>
      <c r="C1100" t="s">
        <v>2476</v>
      </c>
      <c r="D1100">
        <v>32</v>
      </c>
      <c r="E1100">
        <v>8</v>
      </c>
      <c r="F1100">
        <v>9</v>
      </c>
      <c r="G1100">
        <v>12</v>
      </c>
      <c r="H1100" t="s">
        <v>2814</v>
      </c>
      <c r="I110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00" t="s">
        <v>1105</v>
      </c>
      <c r="K1100" t="str">
        <f>RIGHT(Tabla2[[#This Row],[codigo_producto]],LEN(Tabla2[[#This Row],[codigo_producto]])-FIND("/",Tabla2[[#This Row],[codigo_producto]]))</f>
        <v>1276171C20000</v>
      </c>
      <c r="L1100" t="str">
        <f>LEFT(Tabla2[[#This Row],[codigo_producto]],FIND("/",Tabla2[[#This Row],[codigo_producto]])-1)</f>
        <v>1</v>
      </c>
      <c r="M110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01" spans="1:13" x14ac:dyDescent="0.25">
      <c r="A1101" t="s">
        <v>3919</v>
      </c>
      <c r="B1101" t="s">
        <v>1880</v>
      </c>
      <c r="C1101" t="s">
        <v>1880</v>
      </c>
      <c r="D1101">
        <v>32</v>
      </c>
      <c r="E1101">
        <v>8</v>
      </c>
      <c r="F1101">
        <v>9</v>
      </c>
      <c r="G1101">
        <v>12</v>
      </c>
      <c r="H1101" t="s">
        <v>2814</v>
      </c>
      <c r="I110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01" t="s">
        <v>1106</v>
      </c>
      <c r="K1101" t="str">
        <f>RIGHT(Tabla2[[#This Row],[codigo_producto]],LEN(Tabla2[[#This Row],[codigo_producto]])-FIND("/",Tabla2[[#This Row],[codigo_producto]]))</f>
        <v>1281071C02000</v>
      </c>
      <c r="L1101" t="str">
        <f>LEFT(Tabla2[[#This Row],[codigo_producto]],FIND("/",Tabla2[[#This Row],[codigo_producto]])-1)</f>
        <v>1</v>
      </c>
      <c r="M110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02" spans="1:13" x14ac:dyDescent="0.25">
      <c r="A1102" t="s">
        <v>3920</v>
      </c>
      <c r="B1102" t="s">
        <v>1715</v>
      </c>
      <c r="C1102" t="s">
        <v>1715</v>
      </c>
      <c r="D1102">
        <v>32</v>
      </c>
      <c r="E1102">
        <v>8</v>
      </c>
      <c r="F1102">
        <v>9</v>
      </c>
      <c r="G1102">
        <v>12</v>
      </c>
      <c r="H1102" t="s">
        <v>2814</v>
      </c>
      <c r="I110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02" t="s">
        <v>1107</v>
      </c>
      <c r="K1102" t="str">
        <f>RIGHT(Tabla2[[#This Row],[codigo_producto]],LEN(Tabla2[[#This Row],[codigo_producto]])-FIND("/",Tabla2[[#This Row],[codigo_producto]]))</f>
        <v>1378058M00000</v>
      </c>
      <c r="L1102" t="str">
        <f>LEFT(Tabla2[[#This Row],[codigo_producto]],FIND("/",Tabla2[[#This Row],[codigo_producto]])-1)</f>
        <v>1</v>
      </c>
      <c r="M110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03" spans="1:13" x14ac:dyDescent="0.25">
      <c r="A1103" t="s">
        <v>3921</v>
      </c>
      <c r="B1103" t="s">
        <v>1714</v>
      </c>
      <c r="C1103" t="s">
        <v>1714</v>
      </c>
      <c r="D1103">
        <v>32</v>
      </c>
      <c r="E1103">
        <v>8</v>
      </c>
      <c r="F1103">
        <v>9</v>
      </c>
      <c r="G1103">
        <v>12</v>
      </c>
      <c r="H1103" t="s">
        <v>2814</v>
      </c>
      <c r="I110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03" t="s">
        <v>1108</v>
      </c>
      <c r="K1103" t="str">
        <f>RIGHT(Tabla2[[#This Row],[codigo_producto]],LEN(Tabla2[[#This Row],[codigo_producto]])-FIND("/",Tabla2[[#This Row],[codigo_producto]]))</f>
        <v>1378061J00000</v>
      </c>
      <c r="L1103" t="str">
        <f>LEFT(Tabla2[[#This Row],[codigo_producto]],FIND("/",Tabla2[[#This Row],[codigo_producto]])-1)</f>
        <v>1</v>
      </c>
      <c r="M110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04" spans="1:13" x14ac:dyDescent="0.25">
      <c r="A1104" t="s">
        <v>3922</v>
      </c>
      <c r="B1104" t="s">
        <v>1714</v>
      </c>
      <c r="C1104" t="s">
        <v>1714</v>
      </c>
      <c r="D1104">
        <v>32</v>
      </c>
      <c r="E1104">
        <v>8</v>
      </c>
      <c r="F1104">
        <v>9</v>
      </c>
      <c r="G1104">
        <v>12</v>
      </c>
      <c r="H1104" t="s">
        <v>2814</v>
      </c>
      <c r="I110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04" t="s">
        <v>1109</v>
      </c>
      <c r="K1104" t="str">
        <f>RIGHT(Tabla2[[#This Row],[codigo_producto]],LEN(Tabla2[[#This Row],[codigo_producto]])-FIND("/",Tabla2[[#This Row],[codigo_producto]]))</f>
        <v>1378061M00000</v>
      </c>
      <c r="L1104" t="str">
        <f>LEFT(Tabla2[[#This Row],[codigo_producto]],FIND("/",Tabla2[[#This Row],[codigo_producto]])-1)</f>
        <v>1</v>
      </c>
      <c r="M110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05" spans="1:13" x14ac:dyDescent="0.25">
      <c r="A1105" t="s">
        <v>3923</v>
      </c>
      <c r="B1105" t="s">
        <v>1714</v>
      </c>
      <c r="C1105" t="s">
        <v>1714</v>
      </c>
      <c r="D1105">
        <v>32</v>
      </c>
      <c r="E1105">
        <v>8</v>
      </c>
      <c r="F1105">
        <v>9</v>
      </c>
      <c r="G1105">
        <v>12</v>
      </c>
      <c r="H1105" t="s">
        <v>2814</v>
      </c>
      <c r="I110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05" t="s">
        <v>1110</v>
      </c>
      <c r="K1105" t="str">
        <f>RIGHT(Tabla2[[#This Row],[codigo_producto]],LEN(Tabla2[[#This Row],[codigo_producto]])-FIND("/",Tabla2[[#This Row],[codigo_producto]]))</f>
        <v>1378063J00000</v>
      </c>
      <c r="L1105" t="str">
        <f>LEFT(Tabla2[[#This Row],[codigo_producto]],FIND("/",Tabla2[[#This Row],[codigo_producto]])-1)</f>
        <v>1</v>
      </c>
      <c r="M110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06" spans="1:13" x14ac:dyDescent="0.25">
      <c r="A1106" t="s">
        <v>3924</v>
      </c>
      <c r="B1106" t="s">
        <v>1714</v>
      </c>
      <c r="C1106" t="s">
        <v>1714</v>
      </c>
      <c r="D1106">
        <v>32</v>
      </c>
      <c r="E1106">
        <v>8</v>
      </c>
      <c r="F1106">
        <v>9</v>
      </c>
      <c r="G1106">
        <v>12</v>
      </c>
      <c r="H1106" t="s">
        <v>2814</v>
      </c>
      <c r="I110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06" t="s">
        <v>1111</v>
      </c>
      <c r="K1106" t="str">
        <f>RIGHT(Tabla2[[#This Row],[codigo_producto]],LEN(Tabla2[[#This Row],[codigo_producto]])-FIND("/",Tabla2[[#This Row],[codigo_producto]]))</f>
        <v>1378065J00000</v>
      </c>
      <c r="L1106" t="str">
        <f>LEFT(Tabla2[[#This Row],[codigo_producto]],FIND("/",Tabla2[[#This Row],[codigo_producto]])-1)</f>
        <v>1</v>
      </c>
      <c r="M110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07" spans="1:13" x14ac:dyDescent="0.25">
      <c r="A1107" t="s">
        <v>3925</v>
      </c>
      <c r="B1107" t="s">
        <v>1715</v>
      </c>
      <c r="C1107" t="s">
        <v>1715</v>
      </c>
      <c r="D1107">
        <v>32</v>
      </c>
      <c r="E1107">
        <v>8</v>
      </c>
      <c r="F1107">
        <v>9</v>
      </c>
      <c r="G1107">
        <v>12</v>
      </c>
      <c r="H1107" t="s">
        <v>2814</v>
      </c>
      <c r="I110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07" t="s">
        <v>1112</v>
      </c>
      <c r="K1107" t="str">
        <f>RIGHT(Tabla2[[#This Row],[codigo_producto]],LEN(Tabla2[[#This Row],[codigo_producto]])-FIND("/",Tabla2[[#This Row],[codigo_producto]]))</f>
        <v>1378068M00000</v>
      </c>
      <c r="L1107" t="str">
        <f>LEFT(Tabla2[[#This Row],[codigo_producto]],FIND("/",Tabla2[[#This Row],[codigo_producto]])-1)</f>
        <v>1</v>
      </c>
      <c r="M110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08" spans="1:13" x14ac:dyDescent="0.25">
      <c r="A1108" t="s">
        <v>3926</v>
      </c>
      <c r="B1108" t="s">
        <v>1714</v>
      </c>
      <c r="C1108" t="s">
        <v>1714</v>
      </c>
      <c r="D1108">
        <v>32</v>
      </c>
      <c r="E1108">
        <v>8</v>
      </c>
      <c r="F1108">
        <v>9</v>
      </c>
      <c r="G1108">
        <v>12</v>
      </c>
      <c r="H1108" t="s">
        <v>2814</v>
      </c>
      <c r="I110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08" t="s">
        <v>1113</v>
      </c>
      <c r="K1108" t="str">
        <f>RIGHT(Tabla2[[#This Row],[codigo_producto]],LEN(Tabla2[[#This Row],[codigo_producto]])-FIND("/",Tabla2[[#This Row],[codigo_producto]]))</f>
        <v>1378071L00000</v>
      </c>
      <c r="L1108" t="str">
        <f>LEFT(Tabla2[[#This Row],[codigo_producto]],FIND("/",Tabla2[[#This Row],[codigo_producto]])-1)</f>
        <v>1</v>
      </c>
      <c r="M110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09" spans="1:13" x14ac:dyDescent="0.25">
      <c r="A1109" t="s">
        <v>3927</v>
      </c>
      <c r="B1109" t="s">
        <v>2477</v>
      </c>
      <c r="C1109" t="s">
        <v>2477</v>
      </c>
      <c r="D1109">
        <v>32</v>
      </c>
      <c r="E1109">
        <v>8</v>
      </c>
      <c r="F1109">
        <v>9</v>
      </c>
      <c r="G1109">
        <v>12</v>
      </c>
      <c r="H1109" t="s">
        <v>2814</v>
      </c>
      <c r="I110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09" t="s">
        <v>1114</v>
      </c>
      <c r="K1109" t="str">
        <f>RIGHT(Tabla2[[#This Row],[codigo_producto]],LEN(Tabla2[[#This Row],[codigo_producto]])-FIND("/",Tabla2[[#This Row],[codigo_producto]]))</f>
        <v>1378073R00000</v>
      </c>
      <c r="L1109" t="str">
        <f>LEFT(Tabla2[[#This Row],[codigo_producto]],FIND("/",Tabla2[[#This Row],[codigo_producto]])-1)</f>
        <v>1</v>
      </c>
      <c r="M110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10" spans="1:13" x14ac:dyDescent="0.25">
      <c r="A1110" t="s">
        <v>3928</v>
      </c>
      <c r="B1110" t="s">
        <v>1714</v>
      </c>
      <c r="C1110" t="s">
        <v>1714</v>
      </c>
      <c r="D1110">
        <v>32</v>
      </c>
      <c r="E1110">
        <v>8</v>
      </c>
      <c r="F1110">
        <v>9</v>
      </c>
      <c r="G1110">
        <v>12</v>
      </c>
      <c r="H1110" t="s">
        <v>2814</v>
      </c>
      <c r="I111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10" t="s">
        <v>1115</v>
      </c>
      <c r="K1110" t="str">
        <f>RIGHT(Tabla2[[#This Row],[codigo_producto]],LEN(Tabla2[[#This Row],[codigo_producto]])-FIND("/",Tabla2[[#This Row],[codigo_producto]]))</f>
        <v>1378078K00000</v>
      </c>
      <c r="L1110" t="str">
        <f>LEFT(Tabla2[[#This Row],[codigo_producto]],FIND("/",Tabla2[[#This Row],[codigo_producto]])-1)</f>
        <v>1</v>
      </c>
      <c r="M111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11" spans="1:13" x14ac:dyDescent="0.25">
      <c r="A1111" t="s">
        <v>3929</v>
      </c>
      <c r="B1111" t="s">
        <v>2478</v>
      </c>
      <c r="C1111" t="s">
        <v>2478</v>
      </c>
      <c r="D1111">
        <v>32</v>
      </c>
      <c r="E1111">
        <v>8</v>
      </c>
      <c r="F1111">
        <v>9</v>
      </c>
      <c r="G1111">
        <v>12</v>
      </c>
      <c r="H1111" t="s">
        <v>2814</v>
      </c>
      <c r="I111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11" t="s">
        <v>1116</v>
      </c>
      <c r="K1111" t="str">
        <f>RIGHT(Tabla2[[#This Row],[codigo_producto]],LEN(Tabla2[[#This Row],[codigo_producto]])-FIND("/",Tabla2[[#This Row],[codigo_producto]]))</f>
        <v>1378078R00000</v>
      </c>
      <c r="L1111" t="str">
        <f>LEFT(Tabla2[[#This Row],[codigo_producto]],FIND("/",Tabla2[[#This Row],[codigo_producto]])-1)</f>
        <v>1</v>
      </c>
      <c r="M111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12" spans="1:13" x14ac:dyDescent="0.25">
      <c r="A1112" t="s">
        <v>3930</v>
      </c>
      <c r="B1112" t="s">
        <v>1714</v>
      </c>
      <c r="C1112" t="s">
        <v>1714</v>
      </c>
      <c r="D1112">
        <v>32</v>
      </c>
      <c r="E1112">
        <v>8</v>
      </c>
      <c r="F1112">
        <v>9</v>
      </c>
      <c r="G1112">
        <v>12</v>
      </c>
      <c r="H1112" t="s">
        <v>2814</v>
      </c>
      <c r="I111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12" t="s">
        <v>1117</v>
      </c>
      <c r="K1112" t="str">
        <f>RIGHT(Tabla2[[#This Row],[codigo_producto]],LEN(Tabla2[[#This Row],[codigo_producto]])-FIND("/",Tabla2[[#This Row],[codigo_producto]]))</f>
        <v>1378081A00000</v>
      </c>
      <c r="L1112" t="str">
        <f>LEFT(Tabla2[[#This Row],[codigo_producto]],FIND("/",Tabla2[[#This Row],[codigo_producto]])-1)</f>
        <v>1</v>
      </c>
      <c r="M111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13" spans="1:13" x14ac:dyDescent="0.25">
      <c r="A1113" t="s">
        <v>3931</v>
      </c>
      <c r="B1113" t="s">
        <v>1715</v>
      </c>
      <c r="C1113" t="s">
        <v>1715</v>
      </c>
      <c r="D1113">
        <v>32</v>
      </c>
      <c r="E1113">
        <v>8</v>
      </c>
      <c r="F1113">
        <v>9</v>
      </c>
      <c r="G1113">
        <v>12</v>
      </c>
      <c r="H1113" t="s">
        <v>2814</v>
      </c>
      <c r="I111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13" t="s">
        <v>1118</v>
      </c>
      <c r="K1113" t="str">
        <f>RIGHT(Tabla2[[#This Row],[codigo_producto]],LEN(Tabla2[[#This Row],[codigo_producto]])-FIND("/",Tabla2[[#This Row],[codigo_producto]]))</f>
        <v>1378081PA0000</v>
      </c>
      <c r="L1113" t="str">
        <f>LEFT(Tabla2[[#This Row],[codigo_producto]],FIND("/",Tabla2[[#This Row],[codigo_producto]])-1)</f>
        <v>1</v>
      </c>
      <c r="M111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14" spans="1:13" x14ac:dyDescent="0.25">
      <c r="A1114" t="s">
        <v>3932</v>
      </c>
      <c r="B1114" t="s">
        <v>2479</v>
      </c>
      <c r="C1114" t="s">
        <v>2479</v>
      </c>
      <c r="D1114">
        <v>32</v>
      </c>
      <c r="E1114">
        <v>8</v>
      </c>
      <c r="F1114">
        <v>9</v>
      </c>
      <c r="G1114">
        <v>12</v>
      </c>
      <c r="H1114" t="s">
        <v>2814</v>
      </c>
      <c r="I111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14" t="s">
        <v>1119</v>
      </c>
      <c r="K1114" t="str">
        <f>RIGHT(Tabla2[[#This Row],[codigo_producto]],LEN(Tabla2[[#This Row],[codigo_producto]])-FIND("/",Tabla2[[#This Row],[codigo_producto]]))</f>
        <v>1651061832B24</v>
      </c>
      <c r="L1114" t="str">
        <f>LEFT(Tabla2[[#This Row],[codigo_producto]],FIND("/",Tabla2[[#This Row],[codigo_producto]])-1)</f>
        <v>1</v>
      </c>
      <c r="M111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15" spans="1:13" x14ac:dyDescent="0.25">
      <c r="A1115" t="s">
        <v>3933</v>
      </c>
      <c r="B1115" t="s">
        <v>2480</v>
      </c>
      <c r="C1115" t="s">
        <v>2480</v>
      </c>
      <c r="D1115">
        <v>32</v>
      </c>
      <c r="E1115">
        <v>8</v>
      </c>
      <c r="F1115">
        <v>9</v>
      </c>
      <c r="G1115">
        <v>12</v>
      </c>
      <c r="H1115" t="s">
        <v>2814</v>
      </c>
      <c r="I111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15" t="s">
        <v>1120</v>
      </c>
      <c r="K1115" t="str">
        <f>RIGHT(Tabla2[[#This Row],[codigo_producto]],LEN(Tabla2[[#This Row],[codigo_producto]])-FIND("/",Tabla2[[#This Row],[codigo_producto]]))</f>
        <v>1651061J00000</v>
      </c>
      <c r="L1115" t="str">
        <f>LEFT(Tabla2[[#This Row],[codigo_producto]],FIND("/",Tabla2[[#This Row],[codigo_producto]])-1)</f>
        <v>1</v>
      </c>
      <c r="M111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16" spans="1:13" x14ac:dyDescent="0.25">
      <c r="A1116" t="s">
        <v>3934</v>
      </c>
      <c r="B1116" t="s">
        <v>1712</v>
      </c>
      <c r="C1116" t="s">
        <v>1712</v>
      </c>
      <c r="D1116">
        <v>32</v>
      </c>
      <c r="E1116">
        <v>8</v>
      </c>
      <c r="F1116">
        <v>9</v>
      </c>
      <c r="G1116">
        <v>12</v>
      </c>
      <c r="H1116" t="s">
        <v>2814</v>
      </c>
      <c r="I111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16" t="s">
        <v>1121</v>
      </c>
      <c r="K1116" t="str">
        <f>RIGHT(Tabla2[[#This Row],[codigo_producto]],LEN(Tabla2[[#This Row],[codigo_producto]])-FIND("/",Tabla2[[#This Row],[codigo_producto]]))</f>
        <v>1651084M00000</v>
      </c>
      <c r="L1116" t="str">
        <f>LEFT(Tabla2[[#This Row],[codigo_producto]],FIND("/",Tabla2[[#This Row],[codigo_producto]])-1)</f>
        <v>1</v>
      </c>
      <c r="M111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17" spans="1:13" x14ac:dyDescent="0.25">
      <c r="A1117" t="s">
        <v>3935</v>
      </c>
      <c r="B1117" t="s">
        <v>2481</v>
      </c>
      <c r="C1117" t="s">
        <v>2481</v>
      </c>
      <c r="D1117">
        <v>32</v>
      </c>
      <c r="E1117">
        <v>8</v>
      </c>
      <c r="F1117">
        <v>9</v>
      </c>
      <c r="G1117">
        <v>12</v>
      </c>
      <c r="H1117" t="s">
        <v>2814</v>
      </c>
      <c r="I111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17" t="s">
        <v>1122</v>
      </c>
      <c r="K1117" t="str">
        <f>RIGHT(Tabla2[[#This Row],[codigo_producto]],LEN(Tabla2[[#This Row],[codigo_producto]])-FIND("/",Tabla2[[#This Row],[codigo_producto]]))</f>
        <v>1691054LA1000</v>
      </c>
      <c r="L1117" t="str">
        <f>LEFT(Tabla2[[#This Row],[codigo_producto]],FIND("/",Tabla2[[#This Row],[codigo_producto]])-1)</f>
        <v>1</v>
      </c>
      <c r="M111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18" spans="1:13" x14ac:dyDescent="0.25">
      <c r="A1118" t="s">
        <v>3936</v>
      </c>
      <c r="B1118" t="s">
        <v>2482</v>
      </c>
      <c r="C1118" t="s">
        <v>2482</v>
      </c>
      <c r="D1118">
        <v>32</v>
      </c>
      <c r="E1118">
        <v>8</v>
      </c>
      <c r="F1118">
        <v>9</v>
      </c>
      <c r="G1118">
        <v>12</v>
      </c>
      <c r="H1118" t="s">
        <v>2814</v>
      </c>
      <c r="I111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18" t="s">
        <v>1123</v>
      </c>
      <c r="K1118" t="str">
        <f>RIGHT(Tabla2[[#This Row],[codigo_producto]],LEN(Tabla2[[#This Row],[codigo_producto]])-FIND("/",Tabla2[[#This Row],[codigo_producto]]))</f>
        <v>1752152E00000</v>
      </c>
      <c r="L1118" t="str">
        <f>LEFT(Tabla2[[#This Row],[codigo_producto]],FIND("/",Tabla2[[#This Row],[codigo_producto]])-1)</f>
        <v>1</v>
      </c>
      <c r="M111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19" spans="1:13" x14ac:dyDescent="0.25">
      <c r="A1119" t="s">
        <v>3937</v>
      </c>
      <c r="B1119" t="s">
        <v>1724</v>
      </c>
      <c r="C1119" t="s">
        <v>1724</v>
      </c>
      <c r="D1119">
        <v>32</v>
      </c>
      <c r="E1119">
        <v>8</v>
      </c>
      <c r="F1119">
        <v>9</v>
      </c>
      <c r="G1119">
        <v>12</v>
      </c>
      <c r="H1119" t="s">
        <v>2814</v>
      </c>
      <c r="I111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19" t="s">
        <v>1124</v>
      </c>
      <c r="K1119" t="str">
        <f>RIGHT(Tabla2[[#This Row],[codigo_producto]],LEN(Tabla2[[#This Row],[codigo_producto]])-FIND("/",Tabla2[[#This Row],[codigo_producto]]))</f>
        <v>1752158M00000</v>
      </c>
      <c r="L1119" t="str">
        <f>LEFT(Tabla2[[#This Row],[codigo_producto]],FIND("/",Tabla2[[#This Row],[codigo_producto]])-1)</f>
        <v>1</v>
      </c>
      <c r="M111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20" spans="1:13" x14ac:dyDescent="0.25">
      <c r="A1120" t="s">
        <v>3938</v>
      </c>
      <c r="B1120" t="s">
        <v>2483</v>
      </c>
      <c r="C1120" t="s">
        <v>2483</v>
      </c>
      <c r="D1120">
        <v>32</v>
      </c>
      <c r="E1120">
        <v>8</v>
      </c>
      <c r="F1120">
        <v>9</v>
      </c>
      <c r="G1120">
        <v>12</v>
      </c>
      <c r="H1120" t="s">
        <v>2814</v>
      </c>
      <c r="I112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20" t="s">
        <v>1125</v>
      </c>
      <c r="K1120" t="str">
        <f>RIGHT(Tabla2[[#This Row],[codigo_producto]],LEN(Tabla2[[#This Row],[codigo_producto]])-FIND("/",Tabla2[[#This Row],[codigo_producto]]))</f>
        <v>1752161A00000</v>
      </c>
      <c r="L1120" t="str">
        <f>LEFT(Tabla2[[#This Row],[codigo_producto]],FIND("/",Tabla2[[#This Row],[codigo_producto]])-1)</f>
        <v>1</v>
      </c>
      <c r="M112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21" spans="1:13" x14ac:dyDescent="0.25">
      <c r="A1121" t="s">
        <v>3939</v>
      </c>
      <c r="B1121" t="s">
        <v>2484</v>
      </c>
      <c r="C1121" t="s">
        <v>2484</v>
      </c>
      <c r="D1121">
        <v>32</v>
      </c>
      <c r="E1121">
        <v>8</v>
      </c>
      <c r="F1121">
        <v>9</v>
      </c>
      <c r="G1121">
        <v>12</v>
      </c>
      <c r="H1121" t="s">
        <v>2814</v>
      </c>
      <c r="I112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21" t="s">
        <v>1126</v>
      </c>
      <c r="K1121" t="str">
        <f>RIGHT(Tabla2[[#This Row],[codigo_producto]],LEN(Tabla2[[#This Row],[codigo_producto]])-FIND("/",Tabla2[[#This Row],[codigo_producto]]))</f>
        <v>1752161MA0000</v>
      </c>
      <c r="L1121" t="str">
        <f>LEFT(Tabla2[[#This Row],[codigo_producto]],FIND("/",Tabla2[[#This Row],[codigo_producto]])-1)</f>
        <v>1</v>
      </c>
      <c r="M112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22" spans="1:13" x14ac:dyDescent="0.25">
      <c r="A1122" t="s">
        <v>3940</v>
      </c>
      <c r="B1122" t="s">
        <v>2482</v>
      </c>
      <c r="C1122" t="s">
        <v>2482</v>
      </c>
      <c r="D1122">
        <v>32</v>
      </c>
      <c r="E1122">
        <v>8</v>
      </c>
      <c r="F1122">
        <v>9</v>
      </c>
      <c r="G1122">
        <v>12</v>
      </c>
      <c r="H1122" t="s">
        <v>2814</v>
      </c>
      <c r="I112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22" t="s">
        <v>1127</v>
      </c>
      <c r="K1122" t="str">
        <f>RIGHT(Tabla2[[#This Row],[codigo_producto]],LEN(Tabla2[[#This Row],[codigo_producto]])-FIND("/",Tabla2[[#This Row],[codigo_producto]]))</f>
        <v>1752164J00000</v>
      </c>
      <c r="L1122" t="str">
        <f>LEFT(Tabla2[[#This Row],[codigo_producto]],FIND("/",Tabla2[[#This Row],[codigo_producto]])-1)</f>
        <v>1</v>
      </c>
      <c r="M112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23" spans="1:13" x14ac:dyDescent="0.25">
      <c r="A1123" t="s">
        <v>3941</v>
      </c>
      <c r="B1123" t="s">
        <v>2485</v>
      </c>
      <c r="C1123" t="s">
        <v>2485</v>
      </c>
      <c r="D1123">
        <v>32</v>
      </c>
      <c r="E1123">
        <v>8</v>
      </c>
      <c r="F1123">
        <v>9</v>
      </c>
      <c r="G1123">
        <v>12</v>
      </c>
      <c r="H1123" t="s">
        <v>2814</v>
      </c>
      <c r="I112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23" t="s">
        <v>1128</v>
      </c>
      <c r="K1123" t="str">
        <f>RIGHT(Tabla2[[#This Row],[codigo_producto]],LEN(Tabla2[[#This Row],[codigo_producto]])-FIND("/",Tabla2[[#This Row],[codigo_producto]]))</f>
        <v>1752173R00000</v>
      </c>
      <c r="L1123" t="str">
        <f>LEFT(Tabla2[[#This Row],[codigo_producto]],FIND("/",Tabla2[[#This Row],[codigo_producto]])-1)</f>
        <v>1</v>
      </c>
      <c r="M112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24" spans="1:13" x14ac:dyDescent="0.25">
      <c r="A1124" t="s">
        <v>3942</v>
      </c>
      <c r="B1124" t="s">
        <v>2486</v>
      </c>
      <c r="C1124" t="s">
        <v>2486</v>
      </c>
      <c r="D1124">
        <v>32</v>
      </c>
      <c r="E1124">
        <v>8</v>
      </c>
      <c r="F1124">
        <v>9</v>
      </c>
      <c r="G1124">
        <v>12</v>
      </c>
      <c r="H1124" t="s">
        <v>2814</v>
      </c>
      <c r="I112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24" t="s">
        <v>1129</v>
      </c>
      <c r="K1124" t="str">
        <f>RIGHT(Tabla2[[#This Row],[codigo_producto]],LEN(Tabla2[[#This Row],[codigo_producto]])-FIND("/",Tabla2[[#This Row],[codigo_producto]]))</f>
        <v>1752177E20000</v>
      </c>
      <c r="L1124" t="str">
        <f>LEFT(Tabla2[[#This Row],[codigo_producto]],FIND("/",Tabla2[[#This Row],[codigo_producto]])-1)</f>
        <v>1</v>
      </c>
      <c r="M112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25" spans="1:13" x14ac:dyDescent="0.25">
      <c r="A1125" t="s">
        <v>3943</v>
      </c>
      <c r="B1125" t="s">
        <v>2487</v>
      </c>
      <c r="C1125" t="s">
        <v>2487</v>
      </c>
      <c r="D1125">
        <v>32</v>
      </c>
      <c r="E1125">
        <v>8</v>
      </c>
      <c r="F1125">
        <v>9</v>
      </c>
      <c r="G1125">
        <v>12</v>
      </c>
      <c r="H1125" t="s">
        <v>2814</v>
      </c>
      <c r="I112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25" t="s">
        <v>1130</v>
      </c>
      <c r="K1125" t="str">
        <f>RIGHT(Tabla2[[#This Row],[codigo_producto]],LEN(Tabla2[[#This Row],[codigo_producto]])-FIND("/",Tabla2[[#This Row],[codigo_producto]]))</f>
        <v>1752178R00000</v>
      </c>
      <c r="L1125" t="str">
        <f>LEFT(Tabla2[[#This Row],[codigo_producto]],FIND("/",Tabla2[[#This Row],[codigo_producto]])-1)</f>
        <v>1</v>
      </c>
      <c r="M112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26" spans="1:13" x14ac:dyDescent="0.25">
      <c r="A1126" t="s">
        <v>3944</v>
      </c>
      <c r="B1126" t="s">
        <v>2482</v>
      </c>
      <c r="C1126" t="s">
        <v>2482</v>
      </c>
      <c r="D1126">
        <v>32</v>
      </c>
      <c r="E1126">
        <v>8</v>
      </c>
      <c r="F1126">
        <v>9</v>
      </c>
      <c r="G1126">
        <v>12</v>
      </c>
      <c r="H1126" t="s">
        <v>2814</v>
      </c>
      <c r="I112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26" t="s">
        <v>1131</v>
      </c>
      <c r="K1126" t="str">
        <f>RIGHT(Tabla2[[#This Row],[codigo_producto]],LEN(Tabla2[[#This Row],[codigo_producto]])-FIND("/",Tabla2[[#This Row],[codigo_producto]]))</f>
        <v>1752183AA0000</v>
      </c>
      <c r="L1126" t="str">
        <f>LEFT(Tabla2[[#This Row],[codigo_producto]],FIND("/",Tabla2[[#This Row],[codigo_producto]])-1)</f>
        <v>1</v>
      </c>
      <c r="M112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27" spans="1:13" x14ac:dyDescent="0.25">
      <c r="A1127" t="s">
        <v>3945</v>
      </c>
      <c r="B1127" t="s">
        <v>2482</v>
      </c>
      <c r="C1127" t="s">
        <v>2482</v>
      </c>
      <c r="D1127">
        <v>32</v>
      </c>
      <c r="E1127">
        <v>8</v>
      </c>
      <c r="F1127">
        <v>9</v>
      </c>
      <c r="G1127">
        <v>12</v>
      </c>
      <c r="H1127" t="s">
        <v>2814</v>
      </c>
      <c r="I112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27" t="s">
        <v>1132</v>
      </c>
      <c r="K1127" t="str">
        <f>RIGHT(Tabla2[[#This Row],[codigo_producto]],LEN(Tabla2[[#This Row],[codigo_producto]])-FIND("/",Tabla2[[#This Row],[codigo_producto]]))</f>
        <v>1752185300000</v>
      </c>
      <c r="L1127" t="str">
        <f>LEFT(Tabla2[[#This Row],[codigo_producto]],FIND("/",Tabla2[[#This Row],[codigo_producto]])-1)</f>
        <v>1</v>
      </c>
      <c r="M112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28" spans="1:13" x14ac:dyDescent="0.25">
      <c r="A1128" t="s">
        <v>3946</v>
      </c>
      <c r="B1128" t="s">
        <v>2488</v>
      </c>
      <c r="C1128" t="s">
        <v>2488</v>
      </c>
      <c r="D1128">
        <v>32</v>
      </c>
      <c r="E1128">
        <v>8</v>
      </c>
      <c r="F1128">
        <v>9</v>
      </c>
      <c r="G1128">
        <v>12</v>
      </c>
      <c r="H1128" t="s">
        <v>2814</v>
      </c>
      <c r="I112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28" t="s">
        <v>1133</v>
      </c>
      <c r="K1128" t="str">
        <f>RIGHT(Tabla2[[#This Row],[codigo_producto]],LEN(Tabla2[[#This Row],[codigo_producto]])-FIND("/",Tabla2[[#This Row],[codigo_producto]]))</f>
        <v>1753077E00000</v>
      </c>
      <c r="L1128" t="str">
        <f>LEFT(Tabla2[[#This Row],[codigo_producto]],FIND("/",Tabla2[[#This Row],[codigo_producto]])-1)</f>
        <v>1</v>
      </c>
      <c r="M112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29" spans="1:13" x14ac:dyDescent="0.25">
      <c r="A1129" t="s">
        <v>3947</v>
      </c>
      <c r="B1129" t="s">
        <v>2489</v>
      </c>
      <c r="C1129" t="s">
        <v>2489</v>
      </c>
      <c r="D1129">
        <v>32</v>
      </c>
      <c r="E1129">
        <v>8</v>
      </c>
      <c r="F1129">
        <v>9</v>
      </c>
      <c r="G1129">
        <v>12</v>
      </c>
      <c r="H1129" t="s">
        <v>2814</v>
      </c>
      <c r="I112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29" t="s">
        <v>1134</v>
      </c>
      <c r="K1129" t="str">
        <f>RIGHT(Tabla2[[#This Row],[codigo_producto]],LEN(Tabla2[[#This Row],[codigo_producto]])-FIND("/",Tabla2[[#This Row],[codigo_producto]]))</f>
        <v>1754054L00000</v>
      </c>
      <c r="L1129" t="str">
        <f>LEFT(Tabla2[[#This Row],[codigo_producto]],FIND("/",Tabla2[[#This Row],[codigo_producto]])-1)</f>
        <v>1</v>
      </c>
      <c r="M112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30" spans="1:13" x14ac:dyDescent="0.25">
      <c r="A1130" t="s">
        <v>3948</v>
      </c>
      <c r="B1130" t="s">
        <v>2490</v>
      </c>
      <c r="C1130" t="s">
        <v>2490</v>
      </c>
      <c r="D1130">
        <v>32</v>
      </c>
      <c r="E1130">
        <v>8</v>
      </c>
      <c r="F1130">
        <v>9</v>
      </c>
      <c r="G1130">
        <v>12</v>
      </c>
      <c r="H1130" t="s">
        <v>2814</v>
      </c>
      <c r="I113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30" t="s">
        <v>1135</v>
      </c>
      <c r="K1130" t="str">
        <f>RIGHT(Tabla2[[#This Row],[codigo_producto]],LEN(Tabla2[[#This Row],[codigo_producto]])-FIND("/",Tabla2[[#This Row],[codigo_producto]]))</f>
        <v>1758254D00000</v>
      </c>
      <c r="L1130" t="str">
        <f>LEFT(Tabla2[[#This Row],[codigo_producto]],FIND("/",Tabla2[[#This Row],[codigo_producto]])-1)</f>
        <v>1</v>
      </c>
      <c r="M113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31" spans="1:13" x14ac:dyDescent="0.25">
      <c r="A1131" t="s">
        <v>3949</v>
      </c>
      <c r="B1131" t="s">
        <v>2491</v>
      </c>
      <c r="C1131" t="s">
        <v>2491</v>
      </c>
      <c r="D1131">
        <v>32</v>
      </c>
      <c r="E1131">
        <v>8</v>
      </c>
      <c r="F1131">
        <v>9</v>
      </c>
      <c r="G1131">
        <v>12</v>
      </c>
      <c r="H1131" t="s">
        <v>2814</v>
      </c>
      <c r="I113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31" t="s">
        <v>1136</v>
      </c>
      <c r="K1131" t="str">
        <f>RIGHT(Tabla2[[#This Row],[codigo_producto]],LEN(Tabla2[[#This Row],[codigo_producto]])-FIND("/",Tabla2[[#This Row],[codigo_producto]]))</f>
        <v>1758354D00000</v>
      </c>
      <c r="L1131" t="str">
        <f>LEFT(Tabla2[[#This Row],[codigo_producto]],FIND("/",Tabla2[[#This Row],[codigo_producto]])-1)</f>
        <v>1</v>
      </c>
      <c r="M113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32" spans="1:13" x14ac:dyDescent="0.25">
      <c r="A1132" t="s">
        <v>3950</v>
      </c>
      <c r="B1132" t="s">
        <v>1803</v>
      </c>
      <c r="C1132" t="s">
        <v>1803</v>
      </c>
      <c r="D1132">
        <v>32</v>
      </c>
      <c r="E1132">
        <v>8</v>
      </c>
      <c r="F1132">
        <v>9</v>
      </c>
      <c r="G1132">
        <v>12</v>
      </c>
      <c r="H1132" t="s">
        <v>2814</v>
      </c>
      <c r="I113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32" t="s">
        <v>1137</v>
      </c>
      <c r="K1132" t="str">
        <f>RIGHT(Tabla2[[#This Row],[codigo_producto]],LEN(Tabla2[[#This Row],[codigo_producto]])-FIND("/",Tabla2[[#This Row],[codigo_producto]]))</f>
        <v>1767063J00000</v>
      </c>
      <c r="L1132" t="str">
        <f>LEFT(Tabla2[[#This Row],[codigo_producto]],FIND("/",Tabla2[[#This Row],[codigo_producto]])-1)</f>
        <v>1</v>
      </c>
      <c r="M113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33" spans="1:13" x14ac:dyDescent="0.25">
      <c r="A1133" t="s">
        <v>3951</v>
      </c>
      <c r="B1133" t="s">
        <v>1803</v>
      </c>
      <c r="C1133" t="s">
        <v>1803</v>
      </c>
      <c r="D1133">
        <v>32</v>
      </c>
      <c r="E1133">
        <v>8</v>
      </c>
      <c r="F1133">
        <v>9</v>
      </c>
      <c r="G1133">
        <v>12</v>
      </c>
      <c r="H1133" t="s">
        <v>2814</v>
      </c>
      <c r="I113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33" t="s">
        <v>1138</v>
      </c>
      <c r="K1133" t="str">
        <f>RIGHT(Tabla2[[#This Row],[codigo_producto]],LEN(Tabla2[[#This Row],[codigo_producto]])-FIND("/",Tabla2[[#This Row],[codigo_producto]]))</f>
        <v>1767065D00000</v>
      </c>
      <c r="L1133" t="str">
        <f>LEFT(Tabla2[[#This Row],[codigo_producto]],FIND("/",Tabla2[[#This Row],[codigo_producto]])-1)</f>
        <v>1</v>
      </c>
      <c r="M113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34" spans="1:13" x14ac:dyDescent="0.25">
      <c r="A1134" t="s">
        <v>3952</v>
      </c>
      <c r="B1134" t="s">
        <v>2258</v>
      </c>
      <c r="C1134" t="s">
        <v>2258</v>
      </c>
      <c r="D1134">
        <v>32</v>
      </c>
      <c r="E1134">
        <v>8</v>
      </c>
      <c r="F1134">
        <v>9</v>
      </c>
      <c r="G1134">
        <v>12</v>
      </c>
      <c r="H1134" t="s">
        <v>2814</v>
      </c>
      <c r="I113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34" t="s">
        <v>1139</v>
      </c>
      <c r="K1134" t="str">
        <f>RIGHT(Tabla2[[#This Row],[codigo_producto]],LEN(Tabla2[[#This Row],[codigo_producto]])-FIND("/",Tabla2[[#This Row],[codigo_producto]]))</f>
        <v>1792075F00000</v>
      </c>
      <c r="L1134" t="str">
        <f>LEFT(Tabla2[[#This Row],[codigo_producto]],FIND("/",Tabla2[[#This Row],[codigo_producto]])-1)</f>
        <v>1</v>
      </c>
      <c r="M113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35" spans="1:13" x14ac:dyDescent="0.25">
      <c r="A1135" t="s">
        <v>3953</v>
      </c>
      <c r="B1135" t="s">
        <v>1852</v>
      </c>
      <c r="C1135" t="s">
        <v>1852</v>
      </c>
      <c r="D1135">
        <v>32</v>
      </c>
      <c r="E1135">
        <v>8</v>
      </c>
      <c r="F1135">
        <v>9</v>
      </c>
      <c r="G1135">
        <v>12</v>
      </c>
      <c r="H1135" t="s">
        <v>2814</v>
      </c>
      <c r="I113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35" t="s">
        <v>1140</v>
      </c>
      <c r="K1135" t="str">
        <f>RIGHT(Tabla2[[#This Row],[codigo_producto]],LEN(Tabla2[[#This Row],[codigo_producto]])-FIND("/",Tabla2[[#This Row],[codigo_producto]]))</f>
        <v>1811861J00000</v>
      </c>
      <c r="L1135" t="str">
        <f>LEFT(Tabla2[[#This Row],[codigo_producto]],FIND("/",Tabla2[[#This Row],[codigo_producto]])-1)</f>
        <v>1</v>
      </c>
      <c r="M113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36" spans="1:13" x14ac:dyDescent="0.25">
      <c r="A1136" t="s">
        <v>3954</v>
      </c>
      <c r="B1136" t="s">
        <v>2492</v>
      </c>
      <c r="C1136" t="s">
        <v>2492</v>
      </c>
      <c r="D1136">
        <v>32</v>
      </c>
      <c r="E1136">
        <v>8</v>
      </c>
      <c r="F1136">
        <v>9</v>
      </c>
      <c r="G1136">
        <v>12</v>
      </c>
      <c r="H1136" t="s">
        <v>2814</v>
      </c>
      <c r="I113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36" t="s">
        <v>1141</v>
      </c>
      <c r="K1136" t="str">
        <f>RIGHT(Tabla2[[#This Row],[codigo_producto]],LEN(Tabla2[[#This Row],[codigo_producto]])-FIND("/",Tabla2[[#This Row],[codigo_producto]]))</f>
        <v>1813068M03OTS</v>
      </c>
      <c r="L1136" t="str">
        <f>LEFT(Tabla2[[#This Row],[codigo_producto]],FIND("/",Tabla2[[#This Row],[codigo_producto]])-1)</f>
        <v>1</v>
      </c>
      <c r="M113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37" spans="1:13" x14ac:dyDescent="0.25">
      <c r="A1137" t="s">
        <v>3955</v>
      </c>
      <c r="B1137" t="s">
        <v>2493</v>
      </c>
      <c r="C1137" t="s">
        <v>2493</v>
      </c>
      <c r="D1137">
        <v>32</v>
      </c>
      <c r="E1137">
        <v>8</v>
      </c>
      <c r="F1137">
        <v>9</v>
      </c>
      <c r="G1137">
        <v>12</v>
      </c>
      <c r="H1137" t="s">
        <v>2814</v>
      </c>
      <c r="I113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37" t="s">
        <v>1142</v>
      </c>
      <c r="K1137" t="str">
        <f>RIGHT(Tabla2[[#This Row],[codigo_producto]],LEN(Tabla2[[#This Row],[codigo_producto]])-FIND("/",Tabla2[[#This Row],[codigo_producto]]))</f>
        <v>2200066811000</v>
      </c>
      <c r="L1137" t="str">
        <f>LEFT(Tabla2[[#This Row],[codigo_producto]],FIND("/",Tabla2[[#This Row],[codigo_producto]])-1)</f>
        <v>1</v>
      </c>
      <c r="M113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38" spans="1:13" x14ac:dyDescent="0.25">
      <c r="A1138" t="s">
        <v>3956</v>
      </c>
      <c r="B1138" t="s">
        <v>2494</v>
      </c>
      <c r="C1138" t="s">
        <v>2494</v>
      </c>
      <c r="D1138">
        <v>32</v>
      </c>
      <c r="E1138">
        <v>8</v>
      </c>
      <c r="F1138">
        <v>9</v>
      </c>
      <c r="G1138">
        <v>12</v>
      </c>
      <c r="H1138" t="s">
        <v>2814</v>
      </c>
      <c r="I113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38" t="s">
        <v>1143</v>
      </c>
      <c r="K1138" t="str">
        <f>RIGHT(Tabla2[[#This Row],[codigo_producto]],LEN(Tabla2[[#This Row],[codigo_producto]])-FIND("/",Tabla2[[#This Row],[codigo_producto]]))</f>
        <v>2200078810000</v>
      </c>
      <c r="L1138" t="str">
        <f>LEFT(Tabla2[[#This Row],[codigo_producto]],FIND("/",Tabla2[[#This Row],[codigo_producto]])-1)</f>
        <v>1</v>
      </c>
      <c r="M113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39" spans="1:13" x14ac:dyDescent="0.25">
      <c r="A1139" t="s">
        <v>3957</v>
      </c>
      <c r="B1139" t="s">
        <v>2495</v>
      </c>
      <c r="C1139" t="s">
        <v>2495</v>
      </c>
      <c r="D1139">
        <v>32</v>
      </c>
      <c r="E1139">
        <v>8</v>
      </c>
      <c r="F1139">
        <v>9</v>
      </c>
      <c r="G1139">
        <v>12</v>
      </c>
      <c r="H1139" t="s">
        <v>2814</v>
      </c>
      <c r="I113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39" t="s">
        <v>1144</v>
      </c>
      <c r="K1139" t="str">
        <f>RIGHT(Tabla2[[#This Row],[codigo_producto]],LEN(Tabla2[[#This Row],[codigo_producto]])-FIND("/",Tabla2[[#This Row],[codigo_producto]]))</f>
        <v>2200081812000</v>
      </c>
      <c r="L1139" t="str">
        <f>LEFT(Tabla2[[#This Row],[codigo_producto]],FIND("/",Tabla2[[#This Row],[codigo_producto]])-1)</f>
        <v>1</v>
      </c>
      <c r="M113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40" spans="1:13" x14ac:dyDescent="0.25">
      <c r="A1140" t="s">
        <v>3958</v>
      </c>
      <c r="B1140" t="s">
        <v>2496</v>
      </c>
      <c r="C1140" t="s">
        <v>2496</v>
      </c>
      <c r="D1140">
        <v>32</v>
      </c>
      <c r="E1140">
        <v>8</v>
      </c>
      <c r="F1140">
        <v>9</v>
      </c>
      <c r="G1140">
        <v>12</v>
      </c>
      <c r="H1140" t="s">
        <v>2814</v>
      </c>
      <c r="I114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40" t="s">
        <v>1145</v>
      </c>
      <c r="K1140" t="str">
        <f>RIGHT(Tabla2[[#This Row],[codigo_producto]],LEN(Tabla2[[#This Row],[codigo_producto]])-FIND("/",Tabla2[[#This Row],[codigo_producto]]))</f>
        <v>2210064G00000</v>
      </c>
      <c r="L1140" t="str">
        <f>LEFT(Tabla2[[#This Row],[codigo_producto]],FIND("/",Tabla2[[#This Row],[codigo_producto]])-1)</f>
        <v>1</v>
      </c>
      <c r="M114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41" spans="1:13" x14ac:dyDescent="0.25">
      <c r="A1141" t="s">
        <v>3959</v>
      </c>
      <c r="B1141" t="s">
        <v>2497</v>
      </c>
      <c r="C1141" t="s">
        <v>2497</v>
      </c>
      <c r="D1141">
        <v>32</v>
      </c>
      <c r="E1141">
        <v>8</v>
      </c>
      <c r="F1141">
        <v>9</v>
      </c>
      <c r="G1141">
        <v>12</v>
      </c>
      <c r="H1141" t="s">
        <v>2814</v>
      </c>
      <c r="I114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41" t="s">
        <v>1146</v>
      </c>
      <c r="K1141" t="str">
        <f>RIGHT(Tabla2[[#This Row],[codigo_producto]],LEN(Tabla2[[#This Row],[codigo_producto]])-FIND("/",Tabla2[[#This Row],[codigo_producto]]))</f>
        <v>2326565G00000</v>
      </c>
      <c r="L1141" t="str">
        <f>LEFT(Tabla2[[#This Row],[codigo_producto]],FIND("/",Tabla2[[#This Row],[codigo_producto]])-1)</f>
        <v>1</v>
      </c>
      <c r="M114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42" spans="1:13" x14ac:dyDescent="0.25">
      <c r="A1142" t="s">
        <v>3960</v>
      </c>
      <c r="B1142" t="s">
        <v>2498</v>
      </c>
      <c r="C1142" t="s">
        <v>2498</v>
      </c>
      <c r="D1142">
        <v>32</v>
      </c>
      <c r="E1142">
        <v>8</v>
      </c>
      <c r="F1142">
        <v>9</v>
      </c>
      <c r="G1142">
        <v>12</v>
      </c>
      <c r="H1142" t="s">
        <v>2814</v>
      </c>
      <c r="I114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42" t="s">
        <v>1147</v>
      </c>
      <c r="K1142" t="str">
        <f>RIGHT(Tabla2[[#This Row],[codigo_producto]],LEN(Tabla2[[#This Row],[codigo_producto]])-FIND("/",Tabla2[[#This Row],[codigo_producto]]))</f>
        <v>2371060K20000</v>
      </c>
      <c r="L1142" t="str">
        <f>LEFT(Tabla2[[#This Row],[codigo_producto]],FIND("/",Tabla2[[#This Row],[codigo_producto]])-1)</f>
        <v>1</v>
      </c>
      <c r="M114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43" spans="1:13" x14ac:dyDescent="0.25">
      <c r="A1143" t="s">
        <v>3961</v>
      </c>
      <c r="B1143" t="s">
        <v>2499</v>
      </c>
      <c r="C1143" t="s">
        <v>2499</v>
      </c>
      <c r="D1143">
        <v>32</v>
      </c>
      <c r="E1143">
        <v>8</v>
      </c>
      <c r="F1143">
        <v>9</v>
      </c>
      <c r="G1143">
        <v>12</v>
      </c>
      <c r="H1143" t="s">
        <v>2814</v>
      </c>
      <c r="I114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43" t="s">
        <v>1148</v>
      </c>
      <c r="K1143" t="str">
        <f>RIGHT(Tabla2[[#This Row],[codigo_producto]],LEN(Tabla2[[#This Row],[codigo_producto]])-FIND("/",Tabla2[[#This Row],[codigo_producto]]))</f>
        <v>2381073R00000</v>
      </c>
      <c r="L1143" t="str">
        <f>LEFT(Tabla2[[#This Row],[codigo_producto]],FIND("/",Tabla2[[#This Row],[codigo_producto]])-1)</f>
        <v>1</v>
      </c>
      <c r="M114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44" spans="1:13" x14ac:dyDescent="0.25">
      <c r="A1144" t="s">
        <v>3962</v>
      </c>
      <c r="B1144" t="s">
        <v>2500</v>
      </c>
      <c r="C1144" t="s">
        <v>2500</v>
      </c>
      <c r="D1144">
        <v>32</v>
      </c>
      <c r="E1144">
        <v>8</v>
      </c>
      <c r="F1144">
        <v>9</v>
      </c>
      <c r="G1144">
        <v>12</v>
      </c>
      <c r="H1144" t="s">
        <v>2814</v>
      </c>
      <c r="I114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44" t="s">
        <v>1149</v>
      </c>
      <c r="K1144" t="str">
        <f>RIGHT(Tabla2[[#This Row],[codigo_producto]],LEN(Tabla2[[#This Row],[codigo_producto]])-FIND("/",Tabla2[[#This Row],[codigo_producto]]))</f>
        <v>2743157LA0000</v>
      </c>
      <c r="L1144" t="str">
        <f>LEFT(Tabla2[[#This Row],[codigo_producto]],FIND("/",Tabla2[[#This Row],[codigo_producto]])-1)</f>
        <v>1</v>
      </c>
      <c r="M114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45" spans="1:13" x14ac:dyDescent="0.25">
      <c r="A1145" t="s">
        <v>3963</v>
      </c>
      <c r="B1145" t="s">
        <v>2501</v>
      </c>
      <c r="C1145" t="s">
        <v>2501</v>
      </c>
      <c r="D1145">
        <v>32</v>
      </c>
      <c r="E1145">
        <v>8</v>
      </c>
      <c r="F1145">
        <v>9</v>
      </c>
      <c r="G1145">
        <v>12</v>
      </c>
      <c r="H1145" t="s">
        <v>2814</v>
      </c>
      <c r="I114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45" t="s">
        <v>1150</v>
      </c>
      <c r="K1145" t="str">
        <f>RIGHT(Tabla2[[#This Row],[codigo_producto]],LEN(Tabla2[[#This Row],[codigo_producto]])-FIND("/",Tabla2[[#This Row],[codigo_producto]]))</f>
        <v>2743254LA0000</v>
      </c>
      <c r="L1145" t="str">
        <f>LEFT(Tabla2[[#This Row],[codigo_producto]],FIND("/",Tabla2[[#This Row],[codigo_producto]])-1)</f>
        <v>1</v>
      </c>
      <c r="M114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46" spans="1:13" x14ac:dyDescent="0.25">
      <c r="A1146" t="s">
        <v>3964</v>
      </c>
      <c r="B1146" t="s">
        <v>2502</v>
      </c>
      <c r="C1146" t="s">
        <v>2502</v>
      </c>
      <c r="D1146">
        <v>32</v>
      </c>
      <c r="E1146">
        <v>8</v>
      </c>
      <c r="F1146">
        <v>9</v>
      </c>
      <c r="G1146">
        <v>12</v>
      </c>
      <c r="H1146" t="s">
        <v>2814</v>
      </c>
      <c r="I114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46" t="s">
        <v>1151</v>
      </c>
      <c r="K1146" t="str">
        <f>RIGHT(Tabla2[[#This Row],[codigo_producto]],LEN(Tabla2[[#This Row],[codigo_producto]])-FIND("/",Tabla2[[#This Row],[codigo_producto]]))</f>
        <v>2810478820RX0</v>
      </c>
      <c r="L1146" t="str">
        <f>LEFT(Tabla2[[#This Row],[codigo_producto]],FIND("/",Tabla2[[#This Row],[codigo_producto]])-1)</f>
        <v>1</v>
      </c>
      <c r="M114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47" spans="1:13" x14ac:dyDescent="0.25">
      <c r="A1147" t="s">
        <v>3965</v>
      </c>
      <c r="B1147" t="s">
        <v>2290</v>
      </c>
      <c r="C1147" t="s">
        <v>2290</v>
      </c>
      <c r="D1147">
        <v>32</v>
      </c>
      <c r="E1147">
        <v>8</v>
      </c>
      <c r="F1147">
        <v>9</v>
      </c>
      <c r="G1147">
        <v>12</v>
      </c>
      <c r="H1147" t="s">
        <v>2814</v>
      </c>
      <c r="I114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47" t="s">
        <v>1152</v>
      </c>
      <c r="K1147" t="str">
        <f>RIGHT(Tabla2[[#This Row],[codigo_producto]],LEN(Tabla2[[#This Row],[codigo_producto]])-FIND("/",Tabla2[[#This Row],[codigo_producto]]))</f>
        <v>2810478830RX0</v>
      </c>
      <c r="L1147" t="str">
        <f>LEFT(Tabla2[[#This Row],[codigo_producto]],FIND("/",Tabla2[[#This Row],[codigo_producto]])-1)</f>
        <v>1</v>
      </c>
      <c r="M114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48" spans="1:13" x14ac:dyDescent="0.25">
      <c r="A1148" t="s">
        <v>3966</v>
      </c>
      <c r="B1148" t="s">
        <v>2503</v>
      </c>
      <c r="C1148" t="s">
        <v>2503</v>
      </c>
      <c r="D1148">
        <v>32</v>
      </c>
      <c r="E1148">
        <v>8</v>
      </c>
      <c r="F1148">
        <v>9</v>
      </c>
      <c r="G1148">
        <v>12</v>
      </c>
      <c r="H1148" t="s">
        <v>2814</v>
      </c>
      <c r="I114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48" t="s">
        <v>1153</v>
      </c>
      <c r="K1148" t="str">
        <f>RIGHT(Tabla2[[#This Row],[codigo_producto]],LEN(Tabla2[[#This Row],[codigo_producto]])-FIND("/",Tabla2[[#This Row],[codigo_producto]]))</f>
        <v>2813967J00000</v>
      </c>
      <c r="L1148" t="str">
        <f>LEFT(Tabla2[[#This Row],[codigo_producto]],FIND("/",Tabla2[[#This Row],[codigo_producto]])-1)</f>
        <v>1</v>
      </c>
      <c r="M114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49" spans="1:13" x14ac:dyDescent="0.25">
      <c r="A1149" t="s">
        <v>3967</v>
      </c>
      <c r="B1149" t="s">
        <v>2504</v>
      </c>
      <c r="C1149" t="s">
        <v>2504</v>
      </c>
      <c r="D1149">
        <v>32</v>
      </c>
      <c r="E1149">
        <v>8</v>
      </c>
      <c r="F1149">
        <v>9</v>
      </c>
      <c r="G1149">
        <v>12</v>
      </c>
      <c r="H1149" t="s">
        <v>2814</v>
      </c>
      <c r="I114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49" t="s">
        <v>1154</v>
      </c>
      <c r="K1149" t="str">
        <f>RIGHT(Tabla2[[#This Row],[codigo_producto]],LEN(Tabla2[[#This Row],[codigo_producto]])-FIND("/",Tabla2[[#This Row],[codigo_producto]]))</f>
        <v>3560373R10000</v>
      </c>
      <c r="L1149" t="str">
        <f>LEFT(Tabla2[[#This Row],[codigo_producto]],FIND("/",Tabla2[[#This Row],[codigo_producto]])-1)</f>
        <v>1</v>
      </c>
      <c r="M114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50" spans="1:13" x14ac:dyDescent="0.25">
      <c r="A1150" t="s">
        <v>3968</v>
      </c>
      <c r="B1150" t="s">
        <v>2505</v>
      </c>
      <c r="C1150" t="s">
        <v>2505</v>
      </c>
      <c r="D1150">
        <v>32</v>
      </c>
      <c r="E1150">
        <v>8</v>
      </c>
      <c r="F1150">
        <v>9</v>
      </c>
      <c r="G1150">
        <v>12</v>
      </c>
      <c r="H1150" t="s">
        <v>2814</v>
      </c>
      <c r="I115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50" t="s">
        <v>1155</v>
      </c>
      <c r="K1150" t="str">
        <f>RIGHT(Tabla2[[#This Row],[codigo_producto]],LEN(Tabla2[[#This Row],[codigo_producto]])-FIND("/",Tabla2[[#This Row],[codigo_producto]]))</f>
        <v>36750778D0RX0</v>
      </c>
      <c r="L1150" t="str">
        <f>LEFT(Tabla2[[#This Row],[codigo_producto]],FIND("/",Tabla2[[#This Row],[codigo_producto]])-1)</f>
        <v>1</v>
      </c>
      <c r="M115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51" spans="1:13" x14ac:dyDescent="0.25">
      <c r="A1151" t="s">
        <v>3969</v>
      </c>
      <c r="B1151" t="s">
        <v>2506</v>
      </c>
      <c r="C1151" t="s">
        <v>2506</v>
      </c>
      <c r="D1151">
        <v>32</v>
      </c>
      <c r="E1151">
        <v>8</v>
      </c>
      <c r="F1151">
        <v>9</v>
      </c>
      <c r="G1151">
        <v>12</v>
      </c>
      <c r="H1151" t="s">
        <v>2814</v>
      </c>
      <c r="I115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51" t="s">
        <v>1156</v>
      </c>
      <c r="K1151" t="str">
        <f>RIGHT(Tabla2[[#This Row],[codigo_producto]],LEN(Tabla2[[#This Row],[codigo_producto]])-FIND("/",Tabla2[[#This Row],[codigo_producto]]))</f>
        <v>3714555JA1000</v>
      </c>
      <c r="L1151" t="str">
        <f>LEFT(Tabla2[[#This Row],[codigo_producto]],FIND("/",Tabla2[[#This Row],[codigo_producto]])-1)</f>
        <v>1</v>
      </c>
      <c r="M115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52" spans="1:13" x14ac:dyDescent="0.25">
      <c r="A1152" t="s">
        <v>3970</v>
      </c>
      <c r="B1152" t="s">
        <v>2507</v>
      </c>
      <c r="C1152" t="s">
        <v>2507</v>
      </c>
      <c r="D1152">
        <v>32</v>
      </c>
      <c r="E1152">
        <v>8</v>
      </c>
      <c r="F1152">
        <v>9</v>
      </c>
      <c r="G1152">
        <v>12</v>
      </c>
      <c r="H1152" t="s">
        <v>2814</v>
      </c>
      <c r="I115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52" t="s">
        <v>1157</v>
      </c>
      <c r="K1152" t="str">
        <f>RIGHT(Tabla2[[#This Row],[codigo_producto]],LEN(Tabla2[[#This Row],[codigo_producto]])-FIND("/",Tabla2[[#This Row],[codigo_producto]]))</f>
        <v>3768065J00000</v>
      </c>
      <c r="L1152" t="str">
        <f>LEFT(Tabla2[[#This Row],[codigo_producto]],FIND("/",Tabla2[[#This Row],[codigo_producto]])-1)</f>
        <v>1</v>
      </c>
      <c r="M115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53" spans="1:13" x14ac:dyDescent="0.25">
      <c r="A1153" t="s">
        <v>3971</v>
      </c>
      <c r="B1153" t="s">
        <v>2508</v>
      </c>
      <c r="C1153" t="s">
        <v>2508</v>
      </c>
      <c r="D1153">
        <v>32</v>
      </c>
      <c r="E1153">
        <v>8</v>
      </c>
      <c r="F1153">
        <v>9</v>
      </c>
      <c r="G1153">
        <v>12</v>
      </c>
      <c r="H1153" t="s">
        <v>2814</v>
      </c>
      <c r="I115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53" t="s">
        <v>1158</v>
      </c>
      <c r="K1153" t="str">
        <f>RIGHT(Tabla2[[#This Row],[codigo_producto]],LEN(Tabla2[[#This Row],[codigo_producto]])-FIND("/",Tabla2[[#This Row],[codigo_producto]]))</f>
        <v>3841066113000</v>
      </c>
      <c r="L1153" t="str">
        <f>LEFT(Tabla2[[#This Row],[codigo_producto]],FIND("/",Tabla2[[#This Row],[codigo_producto]])-1)</f>
        <v>1</v>
      </c>
      <c r="M115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54" spans="1:13" x14ac:dyDescent="0.25">
      <c r="A1154" t="s">
        <v>3972</v>
      </c>
      <c r="B1154" t="s">
        <v>2509</v>
      </c>
      <c r="C1154" t="s">
        <v>2509</v>
      </c>
      <c r="D1154">
        <v>32</v>
      </c>
      <c r="E1154">
        <v>8</v>
      </c>
      <c r="F1154">
        <v>9</v>
      </c>
      <c r="G1154">
        <v>12</v>
      </c>
      <c r="H1154" t="s">
        <v>2814</v>
      </c>
      <c r="I115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54" t="s">
        <v>1159</v>
      </c>
      <c r="K1154" t="str">
        <f>RIGHT(Tabla2[[#This Row],[codigo_producto]],LEN(Tabla2[[#This Row],[codigo_producto]])-FIND("/",Tabla2[[#This Row],[codigo_producto]]))</f>
        <v>3849660G00000</v>
      </c>
      <c r="L1154" t="str">
        <f>LEFT(Tabla2[[#This Row],[codigo_producto]],FIND("/",Tabla2[[#This Row],[codigo_producto]])-1)</f>
        <v>1</v>
      </c>
      <c r="M115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55" spans="1:13" x14ac:dyDescent="0.25">
      <c r="A1155" t="s">
        <v>3973</v>
      </c>
      <c r="B1155" t="s">
        <v>2510</v>
      </c>
      <c r="C1155" t="s">
        <v>2510</v>
      </c>
      <c r="D1155">
        <v>32</v>
      </c>
      <c r="E1155">
        <v>8</v>
      </c>
      <c r="F1155">
        <v>9</v>
      </c>
      <c r="G1155">
        <v>12</v>
      </c>
      <c r="H1155" t="s">
        <v>2814</v>
      </c>
      <c r="I115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55" t="s">
        <v>1160</v>
      </c>
      <c r="K1155" t="str">
        <f>RIGHT(Tabla2[[#This Row],[codigo_producto]],LEN(Tabla2[[#This Row],[codigo_producto]])-FIND("/",Tabla2[[#This Row],[codigo_producto]]))</f>
        <v>4121165J00000</v>
      </c>
      <c r="L1155" t="str">
        <f>LEFT(Tabla2[[#This Row],[codigo_producto]],FIND("/",Tabla2[[#This Row],[codigo_producto]])-1)</f>
        <v>1</v>
      </c>
      <c r="M115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56" spans="1:13" x14ac:dyDescent="0.25">
      <c r="A1156" t="s">
        <v>3974</v>
      </c>
      <c r="B1156" t="s">
        <v>2511</v>
      </c>
      <c r="C1156" t="s">
        <v>2511</v>
      </c>
      <c r="D1156">
        <v>32</v>
      </c>
      <c r="E1156">
        <v>8</v>
      </c>
      <c r="F1156">
        <v>9</v>
      </c>
      <c r="G1156">
        <v>12</v>
      </c>
      <c r="H1156" t="s">
        <v>2814</v>
      </c>
      <c r="I115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56" t="s">
        <v>1161</v>
      </c>
      <c r="K1156" t="str">
        <f>RIGHT(Tabla2[[#This Row],[codigo_producto]],LEN(Tabla2[[#This Row],[codigo_producto]])-FIND("/",Tabla2[[#This Row],[codigo_producto]]))</f>
        <v>4131160K00000</v>
      </c>
      <c r="L1156" t="str">
        <f>LEFT(Tabla2[[#This Row],[codigo_producto]],FIND("/",Tabla2[[#This Row],[codigo_producto]])-1)</f>
        <v>1</v>
      </c>
      <c r="M115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57" spans="1:13" x14ac:dyDescent="0.25">
      <c r="A1157" t="s">
        <v>3975</v>
      </c>
      <c r="B1157" t="s">
        <v>2512</v>
      </c>
      <c r="C1157" t="s">
        <v>2512</v>
      </c>
      <c r="D1157">
        <v>32</v>
      </c>
      <c r="E1157">
        <v>8</v>
      </c>
      <c r="F1157">
        <v>9</v>
      </c>
      <c r="G1157">
        <v>12</v>
      </c>
      <c r="H1157" t="s">
        <v>2814</v>
      </c>
      <c r="I115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57" t="s">
        <v>1162</v>
      </c>
      <c r="K1157" t="str">
        <f>RIGHT(Tabla2[[#This Row],[codigo_producto]],LEN(Tabla2[[#This Row],[codigo_producto]])-FIND("/",Tabla2[[#This Row],[codigo_producto]]))</f>
        <v>4131165J01000</v>
      </c>
      <c r="L1157" t="str">
        <f>LEFT(Tabla2[[#This Row],[codigo_producto]],FIND("/",Tabla2[[#This Row],[codigo_producto]])-1)</f>
        <v>1</v>
      </c>
      <c r="M115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58" spans="1:13" x14ac:dyDescent="0.25">
      <c r="A1158" t="s">
        <v>3976</v>
      </c>
      <c r="B1158" t="s">
        <v>2513</v>
      </c>
      <c r="C1158" t="s">
        <v>2513</v>
      </c>
      <c r="D1158">
        <v>32</v>
      </c>
      <c r="E1158">
        <v>8</v>
      </c>
      <c r="F1158">
        <v>9</v>
      </c>
      <c r="G1158">
        <v>12</v>
      </c>
      <c r="H1158" t="s">
        <v>2814</v>
      </c>
      <c r="I115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58" t="s">
        <v>1163</v>
      </c>
      <c r="K1158" t="str">
        <f>RIGHT(Tabla2[[#This Row],[codigo_producto]],LEN(Tabla2[[#This Row],[codigo_producto]])-FIND("/",Tabla2[[#This Row],[codigo_producto]]))</f>
        <v>4134165J00000</v>
      </c>
      <c r="L1158" t="str">
        <f>LEFT(Tabla2[[#This Row],[codigo_producto]],FIND("/",Tabla2[[#This Row],[codigo_producto]])-1)</f>
        <v>1</v>
      </c>
      <c r="M115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59" spans="1:13" x14ac:dyDescent="0.25">
      <c r="A1159" t="s">
        <v>3977</v>
      </c>
      <c r="B1159" t="s">
        <v>2514</v>
      </c>
      <c r="C1159" t="s">
        <v>2514</v>
      </c>
      <c r="D1159">
        <v>32</v>
      </c>
      <c r="E1159">
        <v>8</v>
      </c>
      <c r="F1159">
        <v>9</v>
      </c>
      <c r="G1159">
        <v>12</v>
      </c>
      <c r="H1159" t="s">
        <v>2814</v>
      </c>
      <c r="I115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59" t="s">
        <v>1164</v>
      </c>
      <c r="K1159" t="str">
        <f>RIGHT(Tabla2[[#This Row],[codigo_producto]],LEN(Tabla2[[#This Row],[codigo_producto]])-FIND("/",Tabla2[[#This Row],[codigo_producto]]))</f>
        <v>4181078K00000</v>
      </c>
      <c r="L1159" t="str">
        <f>LEFT(Tabla2[[#This Row],[codigo_producto]],FIND("/",Tabla2[[#This Row],[codigo_producto]])-1)</f>
        <v>1</v>
      </c>
      <c r="M115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60" spans="1:13" x14ac:dyDescent="0.25">
      <c r="A1160" t="s">
        <v>3978</v>
      </c>
      <c r="B1160" t="s">
        <v>2515</v>
      </c>
      <c r="C1160" t="s">
        <v>2515</v>
      </c>
      <c r="D1160">
        <v>32</v>
      </c>
      <c r="E1160">
        <v>8</v>
      </c>
      <c r="F1160">
        <v>9</v>
      </c>
      <c r="G1160">
        <v>12</v>
      </c>
      <c r="H1160" t="s">
        <v>2814</v>
      </c>
      <c r="I116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60" t="s">
        <v>1165</v>
      </c>
      <c r="K1160" t="str">
        <f>RIGHT(Tabla2[[#This Row],[codigo_producto]],LEN(Tabla2[[#This Row],[codigo_producto]])-FIND("/",Tabla2[[#This Row],[codigo_producto]]))</f>
        <v>4193071810RX0</v>
      </c>
      <c r="L1160" t="str">
        <f>LEFT(Tabla2[[#This Row],[codigo_producto]],FIND("/",Tabla2[[#This Row],[codigo_producto]])-1)</f>
        <v>1</v>
      </c>
      <c r="M116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61" spans="1:13" x14ac:dyDescent="0.25">
      <c r="A1161" t="s">
        <v>3979</v>
      </c>
      <c r="B1161" t="s">
        <v>2515</v>
      </c>
      <c r="C1161" t="s">
        <v>2515</v>
      </c>
      <c r="D1161">
        <v>32</v>
      </c>
      <c r="E1161">
        <v>8</v>
      </c>
      <c r="F1161">
        <v>9</v>
      </c>
      <c r="G1161">
        <v>12</v>
      </c>
      <c r="H1161" t="s">
        <v>2814</v>
      </c>
      <c r="I116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61" t="s">
        <v>1166</v>
      </c>
      <c r="K1161" t="str">
        <f>RIGHT(Tabla2[[#This Row],[codigo_producto]],LEN(Tabla2[[#This Row],[codigo_producto]])-FIND("/",Tabla2[[#This Row],[codigo_producto]]))</f>
        <v>4193165J00000</v>
      </c>
      <c r="L1161" t="str">
        <f>LEFT(Tabla2[[#This Row],[codigo_producto]],FIND("/",Tabla2[[#This Row],[codigo_producto]])-1)</f>
        <v>1</v>
      </c>
      <c r="M116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62" spans="1:13" x14ac:dyDescent="0.25">
      <c r="A1162" t="s">
        <v>3980</v>
      </c>
      <c r="B1162" t="s">
        <v>2516</v>
      </c>
      <c r="C1162" t="s">
        <v>2516</v>
      </c>
      <c r="D1162">
        <v>32</v>
      </c>
      <c r="E1162">
        <v>8</v>
      </c>
      <c r="F1162">
        <v>9</v>
      </c>
      <c r="G1162">
        <v>12</v>
      </c>
      <c r="H1162" t="s">
        <v>2814</v>
      </c>
      <c r="I116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62" t="s">
        <v>1167</v>
      </c>
      <c r="K1162" t="str">
        <f>RIGHT(Tabla2[[#This Row],[codigo_producto]],LEN(Tabla2[[#This Row],[codigo_producto]])-FIND("/",Tabla2[[#This Row],[codigo_producto]]))</f>
        <v>4193265J00000</v>
      </c>
      <c r="L1162" t="str">
        <f>LEFT(Tabla2[[#This Row],[codigo_producto]],FIND("/",Tabla2[[#This Row],[codigo_producto]])-1)</f>
        <v>1</v>
      </c>
      <c r="M116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63" spans="1:13" x14ac:dyDescent="0.25">
      <c r="A1163" t="s">
        <v>3981</v>
      </c>
      <c r="B1163" t="s">
        <v>2517</v>
      </c>
      <c r="C1163" t="s">
        <v>2517</v>
      </c>
      <c r="D1163">
        <v>32</v>
      </c>
      <c r="E1163">
        <v>8</v>
      </c>
      <c r="F1163">
        <v>9</v>
      </c>
      <c r="G1163">
        <v>12</v>
      </c>
      <c r="H1163" t="s">
        <v>2814</v>
      </c>
      <c r="I116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63" t="s">
        <v>1168</v>
      </c>
      <c r="K1163" t="str">
        <f>RIGHT(Tabla2[[#This Row],[codigo_producto]],LEN(Tabla2[[#This Row],[codigo_producto]])-FIND("/",Tabla2[[#This Row],[codigo_producto]]))</f>
        <v>4211165J00000</v>
      </c>
      <c r="L1163" t="str">
        <f>LEFT(Tabla2[[#This Row],[codigo_producto]],FIND("/",Tabla2[[#This Row],[codigo_producto]])-1)</f>
        <v>1</v>
      </c>
      <c r="M116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64" spans="1:13" x14ac:dyDescent="0.25">
      <c r="A1164" t="s">
        <v>3982</v>
      </c>
      <c r="B1164" t="s">
        <v>1810</v>
      </c>
      <c r="C1164" t="s">
        <v>1810</v>
      </c>
      <c r="D1164">
        <v>32</v>
      </c>
      <c r="E1164">
        <v>8</v>
      </c>
      <c r="F1164">
        <v>9</v>
      </c>
      <c r="G1164">
        <v>12</v>
      </c>
      <c r="H1164" t="s">
        <v>2814</v>
      </c>
      <c r="I116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64" t="s">
        <v>1169</v>
      </c>
      <c r="K1164" t="str">
        <f>RIGHT(Tabla2[[#This Row],[codigo_producto]],LEN(Tabla2[[#This Row],[codigo_producto]])-FIND("/",Tabla2[[#This Row],[codigo_producto]]))</f>
        <v>4241277R00000</v>
      </c>
      <c r="L1164" t="str">
        <f>LEFT(Tabla2[[#This Row],[codigo_producto]],FIND("/",Tabla2[[#This Row],[codigo_producto]])-1)</f>
        <v>1</v>
      </c>
      <c r="M116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65" spans="1:13" x14ac:dyDescent="0.25">
      <c r="A1165" t="s">
        <v>3983</v>
      </c>
      <c r="B1165" t="s">
        <v>2518</v>
      </c>
      <c r="C1165" t="s">
        <v>2518</v>
      </c>
      <c r="D1165">
        <v>32</v>
      </c>
      <c r="E1165">
        <v>8</v>
      </c>
      <c r="F1165">
        <v>9</v>
      </c>
      <c r="G1165">
        <v>12</v>
      </c>
      <c r="H1165" t="s">
        <v>2814</v>
      </c>
      <c r="I116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65" t="s">
        <v>1170</v>
      </c>
      <c r="K1165" t="str">
        <f>RIGHT(Tabla2[[#This Row],[codigo_producto]],LEN(Tabla2[[#This Row],[codigo_producto]])-FIND("/",Tabla2[[#This Row],[codigo_producto]]))</f>
        <v>4241282CA0000</v>
      </c>
      <c r="L1165" t="str">
        <f>LEFT(Tabla2[[#This Row],[codigo_producto]],FIND("/",Tabla2[[#This Row],[codigo_producto]])-1)</f>
        <v>1</v>
      </c>
      <c r="M116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66" spans="1:13" x14ac:dyDescent="0.25">
      <c r="A1166" t="s">
        <v>3984</v>
      </c>
      <c r="B1166" t="s">
        <v>2519</v>
      </c>
      <c r="C1166" t="s">
        <v>2519</v>
      </c>
      <c r="D1166">
        <v>32</v>
      </c>
      <c r="E1166">
        <v>8</v>
      </c>
      <c r="F1166">
        <v>9</v>
      </c>
      <c r="G1166">
        <v>12</v>
      </c>
      <c r="H1166" t="s">
        <v>2814</v>
      </c>
      <c r="I116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66" t="s">
        <v>1171</v>
      </c>
      <c r="K1166" t="str">
        <f>RIGHT(Tabla2[[#This Row],[codigo_producto]],LEN(Tabla2[[#This Row],[codigo_producto]])-FIND("/",Tabla2[[#This Row],[codigo_producto]]))</f>
        <v>4916064J01RX0</v>
      </c>
      <c r="L1166" t="str">
        <f>LEFT(Tabla2[[#This Row],[codigo_producto]],FIND("/",Tabla2[[#This Row],[codigo_producto]])-1)</f>
        <v>1</v>
      </c>
      <c r="M116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67" spans="1:13" x14ac:dyDescent="0.25">
      <c r="A1167" t="s">
        <v>3985</v>
      </c>
      <c r="B1167" t="s">
        <v>1874</v>
      </c>
      <c r="C1167" t="s">
        <v>1874</v>
      </c>
      <c r="D1167">
        <v>32</v>
      </c>
      <c r="E1167">
        <v>8</v>
      </c>
      <c r="F1167">
        <v>9</v>
      </c>
      <c r="G1167">
        <v>12</v>
      </c>
      <c r="H1167" t="s">
        <v>2814</v>
      </c>
      <c r="I116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67" t="s">
        <v>1172</v>
      </c>
      <c r="K1167" t="str">
        <f>RIGHT(Tabla2[[#This Row],[codigo_producto]],LEN(Tabla2[[#This Row],[codigo_producto]])-FIND("/",Tabla2[[#This Row],[codigo_producto]]))</f>
        <v>4916064J02000</v>
      </c>
      <c r="L1167" t="str">
        <f>LEFT(Tabla2[[#This Row],[codigo_producto]],FIND("/",Tabla2[[#This Row],[codigo_producto]])-1)</f>
        <v>1</v>
      </c>
      <c r="M116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68" spans="1:13" x14ac:dyDescent="0.25">
      <c r="A1168" t="s">
        <v>3986</v>
      </c>
      <c r="B1168" t="s">
        <v>2520</v>
      </c>
      <c r="C1168" t="s">
        <v>2520</v>
      </c>
      <c r="D1168">
        <v>32</v>
      </c>
      <c r="E1168">
        <v>8</v>
      </c>
      <c r="F1168">
        <v>9</v>
      </c>
      <c r="G1168">
        <v>12</v>
      </c>
      <c r="H1168" t="s">
        <v>2814</v>
      </c>
      <c r="I116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68" t="s">
        <v>1173</v>
      </c>
      <c r="K1168" t="str">
        <f>RIGHT(Tabla2[[#This Row],[codigo_producto]],LEN(Tabla2[[#This Row],[codigo_producto]])-FIND("/",Tabla2[[#This Row],[codigo_producto]]))</f>
        <v>4916065D40000</v>
      </c>
      <c r="L1168" t="str">
        <f>LEFT(Tabla2[[#This Row],[codigo_producto]],FIND("/",Tabla2[[#This Row],[codigo_producto]])-1)</f>
        <v>1</v>
      </c>
      <c r="M116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69" spans="1:13" x14ac:dyDescent="0.25">
      <c r="A1169" t="s">
        <v>3987</v>
      </c>
      <c r="B1169" t="s">
        <v>2521</v>
      </c>
      <c r="C1169" t="s">
        <v>2521</v>
      </c>
      <c r="D1169">
        <v>32</v>
      </c>
      <c r="E1169">
        <v>8</v>
      </c>
      <c r="F1169">
        <v>9</v>
      </c>
      <c r="G1169">
        <v>12</v>
      </c>
      <c r="H1169" t="s">
        <v>2814</v>
      </c>
      <c r="I116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69" t="s">
        <v>1174</v>
      </c>
      <c r="K1169" t="str">
        <f>RIGHT(Tabla2[[#This Row],[codigo_producto]],LEN(Tabla2[[#This Row],[codigo_producto]])-FIND("/",Tabla2[[#This Row],[codigo_producto]]))</f>
        <v>4916070AA0000</v>
      </c>
      <c r="L1169" t="str">
        <f>LEFT(Tabla2[[#This Row],[codigo_producto]],FIND("/",Tabla2[[#This Row],[codigo_producto]])-1)</f>
        <v>1</v>
      </c>
      <c r="M116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70" spans="1:13" x14ac:dyDescent="0.25">
      <c r="A1170" t="s">
        <v>3988</v>
      </c>
      <c r="B1170" t="s">
        <v>2522</v>
      </c>
      <c r="C1170" t="s">
        <v>2522</v>
      </c>
      <c r="D1170">
        <v>32</v>
      </c>
      <c r="E1170">
        <v>8</v>
      </c>
      <c r="F1170">
        <v>9</v>
      </c>
      <c r="G1170">
        <v>12</v>
      </c>
      <c r="H1170" t="s">
        <v>2814</v>
      </c>
      <c r="I117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70" t="s">
        <v>1175</v>
      </c>
      <c r="K1170" t="str">
        <f>RIGHT(Tabla2[[#This Row],[codigo_producto]],LEN(Tabla2[[#This Row],[codigo_producto]])-FIND("/",Tabla2[[#This Row],[codigo_producto]]))</f>
        <v>4916077E01RX0</v>
      </c>
      <c r="L1170" t="str">
        <f>LEFT(Tabla2[[#This Row],[codigo_producto]],FIND("/",Tabla2[[#This Row],[codigo_producto]])-1)</f>
        <v>1</v>
      </c>
      <c r="M117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71" spans="1:13" x14ac:dyDescent="0.25">
      <c r="A1171" t="s">
        <v>3989</v>
      </c>
      <c r="B1171" t="s">
        <v>2523</v>
      </c>
      <c r="C1171" t="s">
        <v>2523</v>
      </c>
      <c r="D1171">
        <v>32</v>
      </c>
      <c r="E1171">
        <v>8</v>
      </c>
      <c r="F1171">
        <v>9</v>
      </c>
      <c r="G1171">
        <v>12</v>
      </c>
      <c r="H1171" t="s">
        <v>2814</v>
      </c>
      <c r="I117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71" t="s">
        <v>1176</v>
      </c>
      <c r="K1171" t="str">
        <f>RIGHT(Tabla2[[#This Row],[codigo_producto]],LEN(Tabla2[[#This Row],[codigo_producto]])-FIND("/",Tabla2[[#This Row],[codigo_producto]]))</f>
        <v>4918150J40000</v>
      </c>
      <c r="L1171" t="str">
        <f>LEFT(Tabla2[[#This Row],[codigo_producto]],FIND("/",Tabla2[[#This Row],[codigo_producto]])-1)</f>
        <v>1</v>
      </c>
      <c r="M117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72" spans="1:13" x14ac:dyDescent="0.25">
      <c r="A1172" t="s">
        <v>3990</v>
      </c>
      <c r="B1172" t="s">
        <v>2524</v>
      </c>
      <c r="C1172" t="s">
        <v>2524</v>
      </c>
      <c r="D1172">
        <v>32</v>
      </c>
      <c r="E1172">
        <v>8</v>
      </c>
      <c r="F1172">
        <v>9</v>
      </c>
      <c r="G1172">
        <v>12</v>
      </c>
      <c r="H1172" t="s">
        <v>2814</v>
      </c>
      <c r="I117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72" t="s">
        <v>1177</v>
      </c>
      <c r="K1172" t="str">
        <f>RIGHT(Tabla2[[#This Row],[codigo_producto]],LEN(Tabla2[[#This Row],[codigo_producto]])-FIND("/",Tabla2[[#This Row],[codigo_producto]]))</f>
        <v>4918164J00000</v>
      </c>
      <c r="L1172" t="str">
        <f>LEFT(Tabla2[[#This Row],[codigo_producto]],FIND("/",Tabla2[[#This Row],[codigo_producto]])-1)</f>
        <v>1</v>
      </c>
      <c r="M117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73" spans="1:13" x14ac:dyDescent="0.25">
      <c r="A1173" t="s">
        <v>3991</v>
      </c>
      <c r="B1173" t="s">
        <v>2525</v>
      </c>
      <c r="C1173" t="s">
        <v>2525</v>
      </c>
      <c r="D1173">
        <v>32</v>
      </c>
      <c r="E1173">
        <v>8</v>
      </c>
      <c r="F1173">
        <v>9</v>
      </c>
      <c r="G1173">
        <v>12</v>
      </c>
      <c r="H1173" t="s">
        <v>2814</v>
      </c>
      <c r="I117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73" t="s">
        <v>1178</v>
      </c>
      <c r="K1173" t="str">
        <f>RIGHT(Tabla2[[#This Row],[codigo_producto]],LEN(Tabla2[[#This Row],[codigo_producto]])-FIND("/",Tabla2[[#This Row],[codigo_producto]]))</f>
        <v>5320061J00000</v>
      </c>
      <c r="L1173" t="str">
        <f>LEFT(Tabla2[[#This Row],[codigo_producto]],FIND("/",Tabla2[[#This Row],[codigo_producto]])-1)</f>
        <v>1</v>
      </c>
      <c r="M117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74" spans="1:13" x14ac:dyDescent="0.25">
      <c r="A1174" t="s">
        <v>3992</v>
      </c>
      <c r="B1174" t="s">
        <v>2526</v>
      </c>
      <c r="C1174" t="s">
        <v>2526</v>
      </c>
      <c r="D1174">
        <v>32</v>
      </c>
      <c r="E1174">
        <v>8</v>
      </c>
      <c r="F1174">
        <v>9</v>
      </c>
      <c r="G1174">
        <v>12</v>
      </c>
      <c r="H1174" t="s">
        <v>2814</v>
      </c>
      <c r="I117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74" t="s">
        <v>1179</v>
      </c>
      <c r="K1174" t="str">
        <f>RIGHT(Tabla2[[#This Row],[codigo_producto]],LEN(Tabla2[[#This Row],[codigo_producto]])-FIND("/",Tabla2[[#This Row],[codigo_producto]]))</f>
        <v>53200M74L0000</v>
      </c>
      <c r="L1174" t="str">
        <f>LEFT(Tabla2[[#This Row],[codigo_producto]],FIND("/",Tabla2[[#This Row],[codigo_producto]])-1)</f>
        <v>1</v>
      </c>
      <c r="M117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75" spans="1:13" x14ac:dyDescent="0.25">
      <c r="A1175" t="s">
        <v>3993</v>
      </c>
      <c r="B1175" t="s">
        <v>2527</v>
      </c>
      <c r="C1175" t="s">
        <v>2527</v>
      </c>
      <c r="D1175">
        <v>32</v>
      </c>
      <c r="E1175">
        <v>8</v>
      </c>
      <c r="F1175">
        <v>9</v>
      </c>
      <c r="G1175">
        <v>12</v>
      </c>
      <c r="H1175" t="s">
        <v>2814</v>
      </c>
      <c r="I117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75" t="s">
        <v>1180</v>
      </c>
      <c r="K1175" t="str">
        <f>RIGHT(Tabla2[[#This Row],[codigo_producto]],LEN(Tabla2[[#This Row],[codigo_producto]])-FIND("/",Tabla2[[#This Row],[codigo_producto]]))</f>
        <v>5460077K00000</v>
      </c>
      <c r="L1175" t="str">
        <f>LEFT(Tabla2[[#This Row],[codigo_producto]],FIND("/",Tabla2[[#This Row],[codigo_producto]])-1)</f>
        <v>1</v>
      </c>
      <c r="M117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76" spans="1:13" x14ac:dyDescent="0.25">
      <c r="A1176" t="s">
        <v>3994</v>
      </c>
      <c r="B1176" t="s">
        <v>2528</v>
      </c>
      <c r="C1176" t="s">
        <v>2528</v>
      </c>
      <c r="D1176">
        <v>32</v>
      </c>
      <c r="E1176">
        <v>8</v>
      </c>
      <c r="F1176">
        <v>9</v>
      </c>
      <c r="G1176">
        <v>12</v>
      </c>
      <c r="H1176" t="s">
        <v>2814</v>
      </c>
      <c r="I117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76" t="s">
        <v>1181</v>
      </c>
      <c r="K1176" t="str">
        <f>RIGHT(Tabla2[[#This Row],[codigo_producto]],LEN(Tabla2[[#This Row],[codigo_producto]])-FIND("/",Tabla2[[#This Row],[codigo_producto]]))</f>
        <v>5520065J25000</v>
      </c>
      <c r="L1176" t="str">
        <f>LEFT(Tabla2[[#This Row],[codigo_producto]],FIND("/",Tabla2[[#This Row],[codigo_producto]])-1)</f>
        <v>1</v>
      </c>
      <c r="M117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77" spans="1:13" x14ac:dyDescent="0.25">
      <c r="A1177" t="s">
        <v>3995</v>
      </c>
      <c r="B1177" t="s">
        <v>2528</v>
      </c>
      <c r="C1177" t="s">
        <v>2528</v>
      </c>
      <c r="D1177">
        <v>32</v>
      </c>
      <c r="E1177">
        <v>8</v>
      </c>
      <c r="F1177">
        <v>9</v>
      </c>
      <c r="G1177">
        <v>12</v>
      </c>
      <c r="H1177" t="s">
        <v>2814</v>
      </c>
      <c r="I117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77" t="s">
        <v>1182</v>
      </c>
      <c r="K1177" t="str">
        <f>RIGHT(Tabla2[[#This Row],[codigo_producto]],LEN(Tabla2[[#This Row],[codigo_producto]])-FIND("/",Tabla2[[#This Row],[codigo_producto]]))</f>
        <v>5520065J26000</v>
      </c>
      <c r="L1177" t="str">
        <f>LEFT(Tabla2[[#This Row],[codigo_producto]],FIND("/",Tabla2[[#This Row],[codigo_producto]])-1)</f>
        <v>1</v>
      </c>
      <c r="M117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78" spans="1:13" x14ac:dyDescent="0.25">
      <c r="A1178" t="s">
        <v>3996</v>
      </c>
      <c r="B1178" t="s">
        <v>2529</v>
      </c>
      <c r="C1178" t="s">
        <v>2529</v>
      </c>
      <c r="D1178">
        <v>32</v>
      </c>
      <c r="E1178">
        <v>8</v>
      </c>
      <c r="F1178">
        <v>9</v>
      </c>
      <c r="G1178">
        <v>12</v>
      </c>
      <c r="H1178" t="s">
        <v>2814</v>
      </c>
      <c r="I117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78" t="s">
        <v>1183</v>
      </c>
      <c r="K1178" t="str">
        <f>RIGHT(Tabla2[[#This Row],[codigo_producto]],LEN(Tabla2[[#This Row],[codigo_producto]])-FIND("/",Tabla2[[#This Row],[codigo_producto]]))</f>
        <v>5520650J00000</v>
      </c>
      <c r="L1178" t="str">
        <f>LEFT(Tabla2[[#This Row],[codigo_producto]],FIND("/",Tabla2[[#This Row],[codigo_producto]])-1)</f>
        <v>1</v>
      </c>
      <c r="M117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79" spans="1:13" x14ac:dyDescent="0.25">
      <c r="A1179" t="s">
        <v>3997</v>
      </c>
      <c r="B1179" t="s">
        <v>1845</v>
      </c>
      <c r="C1179" t="s">
        <v>1845</v>
      </c>
      <c r="D1179">
        <v>32</v>
      </c>
      <c r="E1179">
        <v>8</v>
      </c>
      <c r="F1179">
        <v>9</v>
      </c>
      <c r="G1179">
        <v>12</v>
      </c>
      <c r="H1179" t="s">
        <v>2814</v>
      </c>
      <c r="I117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79" t="s">
        <v>1184</v>
      </c>
      <c r="K1179" t="str">
        <f>RIGHT(Tabla2[[#This Row],[codigo_producto]],LEN(Tabla2[[#This Row],[codigo_producto]])-FIND("/",Tabla2[[#This Row],[codigo_producto]]))</f>
        <v>5521176J02000</v>
      </c>
      <c r="L1179" t="str">
        <f>LEFT(Tabla2[[#This Row],[codigo_producto]],FIND("/",Tabla2[[#This Row],[codigo_producto]])-1)</f>
        <v>1</v>
      </c>
      <c r="M117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80" spans="1:13" x14ac:dyDescent="0.25">
      <c r="A1180" t="s">
        <v>3998</v>
      </c>
      <c r="B1180" t="s">
        <v>1845</v>
      </c>
      <c r="C1180" t="s">
        <v>1845</v>
      </c>
      <c r="D1180">
        <v>32</v>
      </c>
      <c r="E1180">
        <v>8</v>
      </c>
      <c r="F1180">
        <v>9</v>
      </c>
      <c r="G1180">
        <v>12</v>
      </c>
      <c r="H1180" t="s">
        <v>2814</v>
      </c>
      <c r="I118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80" t="s">
        <v>1185</v>
      </c>
      <c r="K1180" t="str">
        <f>RIGHT(Tabla2[[#This Row],[codigo_producto]],LEN(Tabla2[[#This Row],[codigo_producto]])-FIND("/",Tabla2[[#This Row],[codigo_producto]]))</f>
        <v>5531161J01000</v>
      </c>
      <c r="L1180" t="str">
        <f>LEFT(Tabla2[[#This Row],[codigo_producto]],FIND("/",Tabla2[[#This Row],[codigo_producto]])-1)</f>
        <v>1</v>
      </c>
      <c r="M118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81" spans="1:13" x14ac:dyDescent="0.25">
      <c r="A1181" t="s">
        <v>3999</v>
      </c>
      <c r="B1181" t="s">
        <v>2530</v>
      </c>
      <c r="C1181" t="s">
        <v>2530</v>
      </c>
      <c r="D1181">
        <v>32</v>
      </c>
      <c r="E1181">
        <v>8</v>
      </c>
      <c r="F1181">
        <v>9</v>
      </c>
      <c r="G1181">
        <v>12</v>
      </c>
      <c r="H1181" t="s">
        <v>2814</v>
      </c>
      <c r="I118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81" t="s">
        <v>1186</v>
      </c>
      <c r="K1181" t="str">
        <f>RIGHT(Tabla2[[#This Row],[codigo_producto]],LEN(Tabla2[[#This Row],[codigo_producto]])-FIND("/",Tabla2[[#This Row],[codigo_producto]]))</f>
        <v>5547577K00000</v>
      </c>
      <c r="L1181" t="str">
        <f>LEFT(Tabla2[[#This Row],[codigo_producto]],FIND("/",Tabla2[[#This Row],[codigo_producto]])-1)</f>
        <v>1</v>
      </c>
      <c r="M118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82" spans="1:13" x14ac:dyDescent="0.25">
      <c r="A1182" t="s">
        <v>4000</v>
      </c>
      <c r="B1182" t="s">
        <v>2531</v>
      </c>
      <c r="C1182" t="s">
        <v>2531</v>
      </c>
      <c r="D1182">
        <v>32</v>
      </c>
      <c r="E1182">
        <v>8</v>
      </c>
      <c r="F1182">
        <v>9</v>
      </c>
      <c r="G1182">
        <v>12</v>
      </c>
      <c r="H1182" t="s">
        <v>2814</v>
      </c>
      <c r="I118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82" t="s">
        <v>1187</v>
      </c>
      <c r="K1182" t="str">
        <f>RIGHT(Tabla2[[#This Row],[codigo_producto]],LEN(Tabla2[[#This Row],[codigo_producto]])-FIND("/",Tabla2[[#This Row],[codigo_producto]]))</f>
        <v>5580061M11000</v>
      </c>
      <c r="L1182" t="str">
        <f>LEFT(Tabla2[[#This Row],[codigo_producto]],FIND("/",Tabla2[[#This Row],[codigo_producto]])-1)</f>
        <v>1</v>
      </c>
      <c r="M118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83" spans="1:13" x14ac:dyDescent="0.25">
      <c r="A1183" t="s">
        <v>4001</v>
      </c>
      <c r="B1183" t="s">
        <v>1821</v>
      </c>
      <c r="C1183" t="s">
        <v>1821</v>
      </c>
      <c r="D1183">
        <v>32</v>
      </c>
      <c r="E1183">
        <v>8</v>
      </c>
      <c r="F1183">
        <v>9</v>
      </c>
      <c r="G1183">
        <v>12</v>
      </c>
      <c r="H1183" t="s">
        <v>2814</v>
      </c>
      <c r="I118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83" t="s">
        <v>1188</v>
      </c>
      <c r="K1183" t="str">
        <f>RIGHT(Tabla2[[#This Row],[codigo_producto]],LEN(Tabla2[[#This Row],[codigo_producto]])-FIND("/",Tabla2[[#This Row],[codigo_producto]]))</f>
        <v>5580077K05000</v>
      </c>
      <c r="L1183" t="str">
        <f>LEFT(Tabla2[[#This Row],[codigo_producto]],FIND("/",Tabla2[[#This Row],[codigo_producto]])-1)</f>
        <v>1</v>
      </c>
      <c r="M118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84" spans="1:13" x14ac:dyDescent="0.25">
      <c r="A1184" t="s">
        <v>4002</v>
      </c>
      <c r="B1184" t="s">
        <v>2532</v>
      </c>
      <c r="C1184" t="s">
        <v>2532</v>
      </c>
      <c r="D1184">
        <v>32</v>
      </c>
      <c r="E1184">
        <v>8</v>
      </c>
      <c r="F1184">
        <v>9</v>
      </c>
      <c r="G1184">
        <v>12</v>
      </c>
      <c r="H1184" t="s">
        <v>2814</v>
      </c>
      <c r="I118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84" t="s">
        <v>1189</v>
      </c>
      <c r="K1184" t="str">
        <f>RIGHT(Tabla2[[#This Row],[codigo_producto]],LEN(Tabla2[[#This Row],[codigo_producto]])-FIND("/",Tabla2[[#This Row],[codigo_producto]]))</f>
        <v>5581058M00000</v>
      </c>
      <c r="L1184" t="str">
        <f>LEFT(Tabla2[[#This Row],[codigo_producto]],FIND("/",Tabla2[[#This Row],[codigo_producto]])-1)</f>
        <v>1</v>
      </c>
      <c r="M118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85" spans="1:13" x14ac:dyDescent="0.25">
      <c r="A1185" t="s">
        <v>4003</v>
      </c>
      <c r="B1185" t="s">
        <v>1821</v>
      </c>
      <c r="C1185" t="s">
        <v>1821</v>
      </c>
      <c r="D1185">
        <v>32</v>
      </c>
      <c r="E1185">
        <v>8</v>
      </c>
      <c r="F1185">
        <v>9</v>
      </c>
      <c r="G1185">
        <v>12</v>
      </c>
      <c r="H1185" t="s">
        <v>2814</v>
      </c>
      <c r="I118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85" t="s">
        <v>1190</v>
      </c>
      <c r="K1185" t="str">
        <f>RIGHT(Tabla2[[#This Row],[codigo_producto]],LEN(Tabla2[[#This Row],[codigo_producto]])-FIND("/",Tabla2[[#This Row],[codigo_producto]]))</f>
        <v>5581078R01000</v>
      </c>
      <c r="L1185" t="str">
        <f>LEFT(Tabla2[[#This Row],[codigo_producto]],FIND("/",Tabla2[[#This Row],[codigo_producto]])-1)</f>
        <v>1</v>
      </c>
      <c r="M118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86" spans="1:13" x14ac:dyDescent="0.25">
      <c r="A1186" t="s">
        <v>4004</v>
      </c>
      <c r="B1186" t="s">
        <v>2533</v>
      </c>
      <c r="C1186" t="s">
        <v>2533</v>
      </c>
      <c r="D1186">
        <v>32</v>
      </c>
      <c r="E1186">
        <v>8</v>
      </c>
      <c r="F1186">
        <v>9</v>
      </c>
      <c r="G1186">
        <v>12</v>
      </c>
      <c r="H1186" t="s">
        <v>2814</v>
      </c>
      <c r="I118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86" t="s">
        <v>1191</v>
      </c>
      <c r="K1186" t="str">
        <f>RIGHT(Tabla2[[#This Row],[codigo_producto]],LEN(Tabla2[[#This Row],[codigo_producto]])-FIND("/",Tabla2[[#This Row],[codigo_producto]]))</f>
        <v>5581081P01000</v>
      </c>
      <c r="L1186" t="str">
        <f>LEFT(Tabla2[[#This Row],[codigo_producto]],FIND("/",Tabla2[[#This Row],[codigo_producto]])-1)</f>
        <v>1</v>
      </c>
      <c r="M118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87" spans="1:13" x14ac:dyDescent="0.25">
      <c r="A1187" t="s">
        <v>4005</v>
      </c>
      <c r="B1187" t="s">
        <v>2534</v>
      </c>
      <c r="C1187" t="s">
        <v>2534</v>
      </c>
      <c r="D1187">
        <v>32</v>
      </c>
      <c r="E1187">
        <v>8</v>
      </c>
      <c r="F1187">
        <v>9</v>
      </c>
      <c r="G1187">
        <v>12</v>
      </c>
      <c r="H1187" t="s">
        <v>2814</v>
      </c>
      <c r="I118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87" t="s">
        <v>1192</v>
      </c>
      <c r="K1187" t="str">
        <f>RIGHT(Tabla2[[#This Row],[codigo_producto]],LEN(Tabla2[[#This Row],[codigo_producto]])-FIND("/",Tabla2[[#This Row],[codigo_producto]]))</f>
        <v>5584061J00000</v>
      </c>
      <c r="L1187" t="str">
        <f>LEFT(Tabla2[[#This Row],[codigo_producto]],FIND("/",Tabla2[[#This Row],[codigo_producto]])-1)</f>
        <v>1</v>
      </c>
      <c r="M118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88" spans="1:13" x14ac:dyDescent="0.25">
      <c r="A1188" t="s">
        <v>4006</v>
      </c>
      <c r="B1188" t="s">
        <v>2535</v>
      </c>
      <c r="C1188" t="s">
        <v>2535</v>
      </c>
      <c r="D1188">
        <v>32</v>
      </c>
      <c r="E1188">
        <v>8</v>
      </c>
      <c r="F1188">
        <v>9</v>
      </c>
      <c r="G1188">
        <v>12</v>
      </c>
      <c r="H1188" t="s">
        <v>2814</v>
      </c>
      <c r="I118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88" t="s">
        <v>1193</v>
      </c>
      <c r="K1188" t="str">
        <f>RIGHT(Tabla2[[#This Row],[codigo_producto]],LEN(Tabla2[[#This Row],[codigo_producto]])-FIND("/",Tabla2[[#This Row],[codigo_producto]]))</f>
        <v>5584065J01000</v>
      </c>
      <c r="L1188" t="str">
        <f>LEFT(Tabla2[[#This Row],[codigo_producto]],FIND("/",Tabla2[[#This Row],[codigo_producto]])-1)</f>
        <v>1</v>
      </c>
      <c r="M118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89" spans="1:13" x14ac:dyDescent="0.25">
      <c r="A1189" t="s">
        <v>4007</v>
      </c>
      <c r="B1189" t="s">
        <v>2536</v>
      </c>
      <c r="C1189" t="s">
        <v>2536</v>
      </c>
      <c r="D1189">
        <v>32</v>
      </c>
      <c r="E1189">
        <v>8</v>
      </c>
      <c r="F1189">
        <v>9</v>
      </c>
      <c r="G1189">
        <v>12</v>
      </c>
      <c r="H1189" t="s">
        <v>2814</v>
      </c>
      <c r="I118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89" t="s">
        <v>1194</v>
      </c>
      <c r="K1189" t="str">
        <f>RIGHT(Tabla2[[#This Row],[codigo_producto]],LEN(Tabla2[[#This Row],[codigo_producto]])-FIND("/",Tabla2[[#This Row],[codigo_producto]]))</f>
        <v>5585061J00000</v>
      </c>
      <c r="L1189" t="str">
        <f>LEFT(Tabla2[[#This Row],[codigo_producto]],FIND("/",Tabla2[[#This Row],[codigo_producto]])-1)</f>
        <v>1</v>
      </c>
      <c r="M118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90" spans="1:13" x14ac:dyDescent="0.25">
      <c r="A1190" t="s">
        <v>4008</v>
      </c>
      <c r="B1190" t="s">
        <v>2537</v>
      </c>
      <c r="C1190" t="s">
        <v>2537</v>
      </c>
      <c r="D1190">
        <v>32</v>
      </c>
      <c r="E1190">
        <v>8</v>
      </c>
      <c r="F1190">
        <v>9</v>
      </c>
      <c r="G1190">
        <v>12</v>
      </c>
      <c r="H1190" t="s">
        <v>2814</v>
      </c>
      <c r="I119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90" t="s">
        <v>1195</v>
      </c>
      <c r="K1190" t="str">
        <f>RIGHT(Tabla2[[#This Row],[codigo_producto]],LEN(Tabla2[[#This Row],[codigo_producto]])-FIND("/",Tabla2[[#This Row],[codigo_producto]]))</f>
        <v>5645182K01000</v>
      </c>
      <c r="L1190" t="str">
        <f>LEFT(Tabla2[[#This Row],[codigo_producto]],FIND("/",Tabla2[[#This Row],[codigo_producto]])-1)</f>
        <v>1</v>
      </c>
      <c r="M119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91" spans="1:13" x14ac:dyDescent="0.25">
      <c r="A1191" t="s">
        <v>4009</v>
      </c>
      <c r="B1191" t="s">
        <v>2538</v>
      </c>
      <c r="C1191" t="s">
        <v>2538</v>
      </c>
      <c r="D1191">
        <v>32</v>
      </c>
      <c r="E1191">
        <v>8</v>
      </c>
      <c r="F1191">
        <v>9</v>
      </c>
      <c r="G1191">
        <v>12</v>
      </c>
      <c r="H1191" t="s">
        <v>2814</v>
      </c>
      <c r="I119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91" t="s">
        <v>1196</v>
      </c>
      <c r="K1191" t="str">
        <f>RIGHT(Tabla2[[#This Row],[codigo_producto]],LEN(Tabla2[[#This Row],[codigo_producto]])-FIND("/",Tabla2[[#This Row],[codigo_producto]]))</f>
        <v>7175186R000PG</v>
      </c>
      <c r="L1191" t="str">
        <f>LEFT(Tabla2[[#This Row],[codigo_producto]],FIND("/",Tabla2[[#This Row],[codigo_producto]])-1)</f>
        <v>1</v>
      </c>
      <c r="M119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92" spans="1:13" x14ac:dyDescent="0.25">
      <c r="A1192" t="s">
        <v>4010</v>
      </c>
      <c r="B1192" t="s">
        <v>2539</v>
      </c>
      <c r="C1192" t="s">
        <v>2539</v>
      </c>
      <c r="D1192">
        <v>32</v>
      </c>
      <c r="E1192">
        <v>8</v>
      </c>
      <c r="F1192">
        <v>9</v>
      </c>
      <c r="G1192">
        <v>12</v>
      </c>
      <c r="H1192" t="s">
        <v>2814</v>
      </c>
      <c r="I119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92" t="s">
        <v>1197</v>
      </c>
      <c r="K1192" t="str">
        <f>RIGHT(Tabla2[[#This Row],[codigo_producto]],LEN(Tabla2[[#This Row],[codigo_producto]])-FIND("/",Tabla2[[#This Row],[codigo_producto]]))</f>
        <v>7214160K000CB</v>
      </c>
      <c r="L1192" t="str">
        <f>LEFT(Tabla2[[#This Row],[codigo_producto]],FIND("/",Tabla2[[#This Row],[codigo_producto]])-1)</f>
        <v>1</v>
      </c>
      <c r="M119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93" spans="1:13" x14ac:dyDescent="0.25">
      <c r="A1193" t="s">
        <v>4011</v>
      </c>
      <c r="B1193" t="s">
        <v>2540</v>
      </c>
      <c r="C1193" t="s">
        <v>2540</v>
      </c>
      <c r="D1193">
        <v>32</v>
      </c>
      <c r="E1193">
        <v>8</v>
      </c>
      <c r="F1193">
        <v>9</v>
      </c>
      <c r="G1193">
        <v>12</v>
      </c>
      <c r="H1193" t="s">
        <v>2814</v>
      </c>
      <c r="I119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93" t="s">
        <v>1198</v>
      </c>
      <c r="K1193" t="str">
        <f>RIGHT(Tabla2[[#This Row],[codigo_producto]],LEN(Tabla2[[#This Row],[codigo_producto]])-FIND("/",Tabla2[[#This Row],[codigo_producto]]))</f>
        <v>7238065J00000</v>
      </c>
      <c r="L1193" t="str">
        <f>LEFT(Tabla2[[#This Row],[codigo_producto]],FIND("/",Tabla2[[#This Row],[codigo_producto]])-1)</f>
        <v>1</v>
      </c>
      <c r="M119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94" spans="1:13" x14ac:dyDescent="0.25">
      <c r="A1194" t="s">
        <v>4012</v>
      </c>
      <c r="B1194" t="s">
        <v>2541</v>
      </c>
      <c r="C1194" t="s">
        <v>2541</v>
      </c>
      <c r="D1194">
        <v>32</v>
      </c>
      <c r="E1194">
        <v>8</v>
      </c>
      <c r="F1194">
        <v>9</v>
      </c>
      <c r="G1194">
        <v>12</v>
      </c>
      <c r="H1194" t="s">
        <v>2814</v>
      </c>
      <c r="I119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94" t="s">
        <v>1199</v>
      </c>
      <c r="K1194" t="str">
        <f>RIGHT(Tabla2[[#This Row],[codigo_producto]],LEN(Tabla2[[#This Row],[codigo_producto]])-FIND("/",Tabla2[[#This Row],[codigo_producto]]))</f>
        <v>7248357M00000</v>
      </c>
      <c r="L1194" t="str">
        <f>LEFT(Tabla2[[#This Row],[codigo_producto]],FIND("/",Tabla2[[#This Row],[codigo_producto]])-1)</f>
        <v>1</v>
      </c>
      <c r="M119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95" spans="1:13" x14ac:dyDescent="0.25">
      <c r="A1195" t="s">
        <v>4013</v>
      </c>
      <c r="B1195" t="s">
        <v>2542</v>
      </c>
      <c r="C1195" t="s">
        <v>2542</v>
      </c>
      <c r="D1195">
        <v>32</v>
      </c>
      <c r="E1195">
        <v>8</v>
      </c>
      <c r="F1195">
        <v>9</v>
      </c>
      <c r="G1195">
        <v>12</v>
      </c>
      <c r="H1195" t="s">
        <v>2814</v>
      </c>
      <c r="I119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95" t="s">
        <v>1200</v>
      </c>
      <c r="K1195" t="str">
        <f>RIGHT(Tabla2[[#This Row],[codigo_producto]],LEN(Tabla2[[#This Row],[codigo_producto]])-FIND("/",Tabla2[[#This Row],[codigo_producto]]))</f>
        <v>7719176F00000</v>
      </c>
      <c r="L1195" t="str">
        <f>LEFT(Tabla2[[#This Row],[codigo_producto]],FIND("/",Tabla2[[#This Row],[codigo_producto]])-1)</f>
        <v>1</v>
      </c>
      <c r="M119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96" spans="1:13" x14ac:dyDescent="0.25">
      <c r="A1196" t="s">
        <v>4014</v>
      </c>
      <c r="B1196" t="s">
        <v>2543</v>
      </c>
      <c r="C1196" t="s">
        <v>2543</v>
      </c>
      <c r="D1196">
        <v>32</v>
      </c>
      <c r="E1196">
        <v>8</v>
      </c>
      <c r="F1196">
        <v>9</v>
      </c>
      <c r="G1196">
        <v>12</v>
      </c>
      <c r="H1196" t="s">
        <v>2814</v>
      </c>
      <c r="I119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96" t="s">
        <v>1201</v>
      </c>
      <c r="K1196" t="str">
        <f>RIGHT(Tabla2[[#This Row],[codigo_producto]],LEN(Tabla2[[#This Row],[codigo_producto]])-FIND("/",Tabla2[[#This Row],[codigo_producto]]))</f>
        <v>8283052R03RX0</v>
      </c>
      <c r="L1196" t="str">
        <f>LEFT(Tabla2[[#This Row],[codigo_producto]],FIND("/",Tabla2[[#This Row],[codigo_producto]])-1)</f>
        <v>1</v>
      </c>
      <c r="M119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97" spans="1:13" x14ac:dyDescent="0.25">
      <c r="A1197" t="s">
        <v>4015</v>
      </c>
      <c r="B1197" t="s">
        <v>2544</v>
      </c>
      <c r="C1197" t="s">
        <v>2544</v>
      </c>
      <c r="D1197">
        <v>32</v>
      </c>
      <c r="E1197">
        <v>8</v>
      </c>
      <c r="F1197">
        <v>9</v>
      </c>
      <c r="G1197">
        <v>12</v>
      </c>
      <c r="H1197" t="s">
        <v>2814</v>
      </c>
      <c r="I119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97" t="s">
        <v>1202</v>
      </c>
      <c r="K1197" t="str">
        <f>RIGHT(Tabla2[[#This Row],[codigo_producto]],LEN(Tabla2[[#This Row],[codigo_producto]])-FIND("/",Tabla2[[#This Row],[codigo_producto]]))</f>
        <v>8284052R03RX0</v>
      </c>
      <c r="L1197" t="str">
        <f>LEFT(Tabla2[[#This Row],[codigo_producto]],FIND("/",Tabla2[[#This Row],[codigo_producto]])-1)</f>
        <v>1</v>
      </c>
      <c r="M119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98" spans="1:13" x14ac:dyDescent="0.25">
      <c r="A1198" t="s">
        <v>4016</v>
      </c>
      <c r="B1198" t="s">
        <v>2545</v>
      </c>
      <c r="C1198" t="s">
        <v>2545</v>
      </c>
      <c r="D1198">
        <v>32</v>
      </c>
      <c r="E1198">
        <v>8</v>
      </c>
      <c r="F1198">
        <v>9</v>
      </c>
      <c r="G1198">
        <v>12</v>
      </c>
      <c r="H1198" t="s">
        <v>2814</v>
      </c>
      <c r="I119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98" t="s">
        <v>1203</v>
      </c>
      <c r="K1198" t="str">
        <f>RIGHT(Tabla2[[#This Row],[codigo_producto]],LEN(Tabla2[[#This Row],[codigo_producto]])-FIND("/",Tabla2[[#This Row],[codigo_producto]]))</f>
        <v>8471865J00Z2S</v>
      </c>
      <c r="L1198" t="str">
        <f>LEFT(Tabla2[[#This Row],[codigo_producto]],FIND("/",Tabla2[[#This Row],[codigo_producto]])-1)</f>
        <v>1</v>
      </c>
      <c r="M119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99" spans="1:13" x14ac:dyDescent="0.25">
      <c r="A1199" t="s">
        <v>4017</v>
      </c>
      <c r="B1199" t="s">
        <v>2546</v>
      </c>
      <c r="C1199" t="s">
        <v>2546</v>
      </c>
      <c r="D1199">
        <v>32</v>
      </c>
      <c r="E1199">
        <v>8</v>
      </c>
      <c r="F1199">
        <v>9</v>
      </c>
      <c r="G1199">
        <v>12</v>
      </c>
      <c r="H1199" t="s">
        <v>2814</v>
      </c>
      <c r="I119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99" t="s">
        <v>1204</v>
      </c>
      <c r="K1199" t="str">
        <f>RIGHT(Tabla2[[#This Row],[codigo_producto]],LEN(Tabla2[[#This Row],[codigo_producto]])-FIND("/",Tabla2[[#This Row],[codigo_producto]]))</f>
        <v>8924171L01RX0</v>
      </c>
      <c r="L1199" t="str">
        <f>LEFT(Tabla2[[#This Row],[codigo_producto]],FIND("/",Tabla2[[#This Row],[codigo_producto]])-1)</f>
        <v>1</v>
      </c>
      <c r="M119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200" spans="1:13" x14ac:dyDescent="0.25">
      <c r="A1200" t="s">
        <v>4018</v>
      </c>
      <c r="B1200" t="s">
        <v>2547</v>
      </c>
      <c r="C1200" t="s">
        <v>2547</v>
      </c>
      <c r="D1200">
        <v>32</v>
      </c>
      <c r="E1200">
        <v>8</v>
      </c>
      <c r="F1200">
        <v>9</v>
      </c>
      <c r="G1200">
        <v>12</v>
      </c>
      <c r="H1200" t="s">
        <v>2814</v>
      </c>
      <c r="I120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00" t="s">
        <v>1205</v>
      </c>
      <c r="K1200" t="str">
        <f>RIGHT(Tabla2[[#This Row],[codigo_producto]],LEN(Tabla2[[#This Row],[codigo_producto]])-FIND("/",Tabla2[[#This Row],[codigo_producto]]))</f>
        <v>916814015-M14</v>
      </c>
      <c r="L1200" t="str">
        <f>LEFT(Tabla2[[#This Row],[codigo_producto]],FIND("/",Tabla2[[#This Row],[codigo_producto]])-1)</f>
        <v>1</v>
      </c>
      <c r="M120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201" spans="1:13" x14ac:dyDescent="0.25">
      <c r="A1201" t="s">
        <v>4019</v>
      </c>
      <c r="B1201" t="s">
        <v>2482</v>
      </c>
      <c r="C1201" t="s">
        <v>2482</v>
      </c>
      <c r="D1201">
        <v>32</v>
      </c>
      <c r="E1201">
        <v>8</v>
      </c>
      <c r="F1201">
        <v>9</v>
      </c>
      <c r="G1201">
        <v>12</v>
      </c>
      <c r="H1201" t="s">
        <v>2814</v>
      </c>
      <c r="I120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01" t="s">
        <v>1206</v>
      </c>
      <c r="K1201" t="str">
        <f>RIGHT(Tabla2[[#This Row],[codigo_producto]],LEN(Tabla2[[#This Row],[codigo_producto]])-FIND("/",Tabla2[[#This Row],[codigo_producto]]))</f>
        <v>9514150F01000</v>
      </c>
      <c r="L1201" t="str">
        <f>LEFT(Tabla2[[#This Row],[codigo_producto]],FIND("/",Tabla2[[#This Row],[codigo_producto]])-1)</f>
        <v>1</v>
      </c>
      <c r="M120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202" spans="1:13" x14ac:dyDescent="0.25">
      <c r="A1202" t="s">
        <v>4020</v>
      </c>
      <c r="B1202" t="s">
        <v>2104</v>
      </c>
      <c r="C1202" t="s">
        <v>2104</v>
      </c>
      <c r="D1202">
        <v>32</v>
      </c>
      <c r="E1202">
        <v>8</v>
      </c>
      <c r="F1202">
        <v>9</v>
      </c>
      <c r="G1202">
        <v>12</v>
      </c>
      <c r="H1202" t="s">
        <v>2814</v>
      </c>
      <c r="I120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02" t="s">
        <v>1207</v>
      </c>
      <c r="K1202" t="str">
        <f>RIGHT(Tabla2[[#This Row],[codigo_producto]],LEN(Tabla2[[#This Row],[codigo_producto]])-FIND("/",Tabla2[[#This Row],[codigo_producto]]))</f>
        <v>9514160G90000</v>
      </c>
      <c r="L1202" t="str">
        <f>LEFT(Tabla2[[#This Row],[codigo_producto]],FIND("/",Tabla2[[#This Row],[codigo_producto]])-1)</f>
        <v>1</v>
      </c>
      <c r="M120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203" spans="1:13" x14ac:dyDescent="0.25">
      <c r="A1203" t="s">
        <v>4021</v>
      </c>
      <c r="B1203" t="s">
        <v>2482</v>
      </c>
      <c r="C1203" t="s">
        <v>2482</v>
      </c>
      <c r="D1203">
        <v>32</v>
      </c>
      <c r="E1203">
        <v>8</v>
      </c>
      <c r="F1203">
        <v>9</v>
      </c>
      <c r="G1203">
        <v>12</v>
      </c>
      <c r="H1203" t="s">
        <v>2814</v>
      </c>
      <c r="I120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03" t="s">
        <v>1208</v>
      </c>
      <c r="K1203" t="str">
        <f>RIGHT(Tabla2[[#This Row],[codigo_producto]],LEN(Tabla2[[#This Row],[codigo_producto]])-FIND("/",Tabla2[[#This Row],[codigo_producto]]))</f>
        <v>9514161J00000</v>
      </c>
      <c r="L1203" t="str">
        <f>LEFT(Tabla2[[#This Row],[codigo_producto]],FIND("/",Tabla2[[#This Row],[codigo_producto]])-1)</f>
        <v>1</v>
      </c>
      <c r="M120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204" spans="1:13" x14ac:dyDescent="0.25">
      <c r="A1204" t="s">
        <v>4022</v>
      </c>
      <c r="B1204" t="s">
        <v>2022</v>
      </c>
      <c r="C1204" t="s">
        <v>2022</v>
      </c>
      <c r="D1204">
        <v>32</v>
      </c>
      <c r="E1204">
        <v>8</v>
      </c>
      <c r="F1204">
        <v>9</v>
      </c>
      <c r="G1204">
        <v>12</v>
      </c>
      <c r="H1204" t="s">
        <v>2814</v>
      </c>
      <c r="I120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04" t="s">
        <v>1209</v>
      </c>
      <c r="K1204" t="str">
        <f>RIGHT(Tabla2[[#This Row],[codigo_producto]],LEN(Tabla2[[#This Row],[codigo_producto]])-FIND("/",Tabla2[[#This Row],[codigo_producto]]))</f>
        <v>9514161J10000</v>
      </c>
      <c r="L1204" t="str">
        <f>LEFT(Tabla2[[#This Row],[codigo_producto]],FIND("/",Tabla2[[#This Row],[codigo_producto]])-1)</f>
        <v>1</v>
      </c>
      <c r="M120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205" spans="1:13" x14ac:dyDescent="0.25">
      <c r="A1205" t="s">
        <v>4023</v>
      </c>
      <c r="B1205" t="s">
        <v>1894</v>
      </c>
      <c r="C1205" t="s">
        <v>1894</v>
      </c>
      <c r="D1205">
        <v>32</v>
      </c>
      <c r="E1205">
        <v>8</v>
      </c>
      <c r="F1205">
        <v>9</v>
      </c>
      <c r="G1205">
        <v>12</v>
      </c>
      <c r="H1205" t="s">
        <v>2814</v>
      </c>
      <c r="I120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05" t="s">
        <v>1210</v>
      </c>
      <c r="K1205" t="str">
        <f>RIGHT(Tabla2[[#This Row],[codigo_producto]],LEN(Tabla2[[#This Row],[codigo_producto]])-FIND("/",Tabla2[[#This Row],[codigo_producto]]))</f>
        <v>9514161M00000</v>
      </c>
      <c r="L1205" t="str">
        <f>LEFT(Tabla2[[#This Row],[codigo_producto]],FIND("/",Tabla2[[#This Row],[codigo_producto]])-1)</f>
        <v>1</v>
      </c>
      <c r="M120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206" spans="1:13" x14ac:dyDescent="0.25">
      <c r="A1206" t="s">
        <v>4024</v>
      </c>
      <c r="B1206" t="s">
        <v>2483</v>
      </c>
      <c r="C1206" t="s">
        <v>2483</v>
      </c>
      <c r="D1206">
        <v>32</v>
      </c>
      <c r="E1206">
        <v>8</v>
      </c>
      <c r="F1206">
        <v>9</v>
      </c>
      <c r="G1206">
        <v>12</v>
      </c>
      <c r="H1206" t="s">
        <v>2814</v>
      </c>
      <c r="I120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06" t="s">
        <v>1211</v>
      </c>
      <c r="K1206" t="str">
        <f>RIGHT(Tabla2[[#This Row],[codigo_producto]],LEN(Tabla2[[#This Row],[codigo_producto]])-FIND("/",Tabla2[[#This Row],[codigo_producto]]))</f>
        <v>9514164J00000</v>
      </c>
      <c r="L1206" t="str">
        <f>LEFT(Tabla2[[#This Row],[codigo_producto]],FIND("/",Tabla2[[#This Row],[codigo_producto]])-1)</f>
        <v>1</v>
      </c>
      <c r="M120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207" spans="1:13" x14ac:dyDescent="0.25">
      <c r="A1207" t="s">
        <v>4025</v>
      </c>
      <c r="B1207" t="s">
        <v>2548</v>
      </c>
      <c r="C1207" t="s">
        <v>2548</v>
      </c>
      <c r="D1207">
        <v>32</v>
      </c>
      <c r="E1207">
        <v>8</v>
      </c>
      <c r="F1207">
        <v>9</v>
      </c>
      <c r="G1207">
        <v>12</v>
      </c>
      <c r="H1207" t="s">
        <v>2814</v>
      </c>
      <c r="I120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07" t="s">
        <v>1212</v>
      </c>
      <c r="K1207" t="str">
        <f>RIGHT(Tabla2[[#This Row],[codigo_producto]],LEN(Tabla2[[#This Row],[codigo_producto]])-FIND("/",Tabla2[[#This Row],[codigo_producto]]))</f>
        <v>9514173R00000</v>
      </c>
      <c r="L1207" t="str">
        <f>LEFT(Tabla2[[#This Row],[codigo_producto]],FIND("/",Tabla2[[#This Row],[codigo_producto]])-1)</f>
        <v>1</v>
      </c>
      <c r="M120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208" spans="1:13" x14ac:dyDescent="0.25">
      <c r="A1208" t="s">
        <v>4026</v>
      </c>
      <c r="B1208" t="s">
        <v>1894</v>
      </c>
      <c r="C1208" t="s">
        <v>1894</v>
      </c>
      <c r="D1208">
        <v>32</v>
      </c>
      <c r="E1208">
        <v>8</v>
      </c>
      <c r="F1208">
        <v>9</v>
      </c>
      <c r="G1208">
        <v>12</v>
      </c>
      <c r="H1208" t="s">
        <v>2814</v>
      </c>
      <c r="I120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08" t="s">
        <v>1213</v>
      </c>
      <c r="K1208" t="str">
        <f>RIGHT(Tabla2[[#This Row],[codigo_producto]],LEN(Tabla2[[#This Row],[codigo_producto]])-FIND("/",Tabla2[[#This Row],[codigo_producto]]))</f>
        <v>9514177M00000</v>
      </c>
      <c r="L1208" t="str">
        <f>LEFT(Tabla2[[#This Row],[codigo_producto]],FIND("/",Tabla2[[#This Row],[codigo_producto]])-1)</f>
        <v>1</v>
      </c>
      <c r="M120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209" spans="1:13" x14ac:dyDescent="0.25">
      <c r="A1209" t="s">
        <v>4027</v>
      </c>
      <c r="B1209" t="s">
        <v>2549</v>
      </c>
      <c r="C1209" t="s">
        <v>2549</v>
      </c>
      <c r="D1209">
        <v>32</v>
      </c>
      <c r="E1209">
        <v>8</v>
      </c>
      <c r="F1209">
        <v>9</v>
      </c>
      <c r="G1209">
        <v>12</v>
      </c>
      <c r="H1209" t="s">
        <v>2814</v>
      </c>
      <c r="I120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09" t="s">
        <v>1214</v>
      </c>
      <c r="K1209" t="str">
        <f>RIGHT(Tabla2[[#This Row],[codigo_producto]],LEN(Tabla2[[#This Row],[codigo_producto]])-FIND("/",Tabla2[[#This Row],[codigo_producto]]))</f>
        <v>9514177R10000</v>
      </c>
      <c r="L1209" t="str">
        <f>LEFT(Tabla2[[#This Row],[codigo_producto]],FIND("/",Tabla2[[#This Row],[codigo_producto]])-1)</f>
        <v>1</v>
      </c>
      <c r="M120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210" spans="1:13" x14ac:dyDescent="0.25">
      <c r="A1210" t="s">
        <v>4028</v>
      </c>
      <c r="B1210" t="s">
        <v>2550</v>
      </c>
      <c r="C1210" t="s">
        <v>2550</v>
      </c>
      <c r="D1210">
        <v>32</v>
      </c>
      <c r="E1210">
        <v>8</v>
      </c>
      <c r="F1210">
        <v>9</v>
      </c>
      <c r="G1210">
        <v>12</v>
      </c>
      <c r="H1210" t="s">
        <v>2814</v>
      </c>
      <c r="I121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10" t="s">
        <v>1215</v>
      </c>
      <c r="K1210" t="str">
        <f>RIGHT(Tabla2[[#This Row],[codigo_producto]],LEN(Tabla2[[#This Row],[codigo_producto]])-FIND("/",Tabla2[[#This Row],[codigo_producto]]))</f>
        <v>9514179M00000</v>
      </c>
      <c r="L1210" t="str">
        <f>LEFT(Tabla2[[#This Row],[codigo_producto]],FIND("/",Tabla2[[#This Row],[codigo_producto]])-1)</f>
        <v>1</v>
      </c>
      <c r="M121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211" spans="1:13" x14ac:dyDescent="0.25">
      <c r="A1211" t="s">
        <v>4029</v>
      </c>
      <c r="B1211" t="s">
        <v>1917</v>
      </c>
      <c r="C1211" t="s">
        <v>1917</v>
      </c>
      <c r="D1211">
        <v>32</v>
      </c>
      <c r="E1211">
        <v>8</v>
      </c>
      <c r="F1211">
        <v>9</v>
      </c>
      <c r="G1211">
        <v>12</v>
      </c>
      <c r="H1211" t="s">
        <v>2814</v>
      </c>
      <c r="I121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11" t="s">
        <v>1216</v>
      </c>
      <c r="K1211" t="str">
        <f>RIGHT(Tabla2[[#This Row],[codigo_producto]],LEN(Tabla2[[#This Row],[codigo_producto]])-FIND("/",Tabla2[[#This Row],[codigo_producto]]))</f>
        <v>9514179P10000</v>
      </c>
      <c r="L1211" t="str">
        <f>LEFT(Tabla2[[#This Row],[codigo_producto]],FIND("/",Tabla2[[#This Row],[codigo_producto]])-1)</f>
        <v>1</v>
      </c>
      <c r="M121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212" spans="1:13" x14ac:dyDescent="0.25">
      <c r="A1212" t="s">
        <v>4030</v>
      </c>
      <c r="B1212" t="s">
        <v>1729</v>
      </c>
      <c r="C1212" t="s">
        <v>1729</v>
      </c>
      <c r="D1212">
        <v>32</v>
      </c>
      <c r="E1212">
        <v>8</v>
      </c>
      <c r="F1212">
        <v>9</v>
      </c>
      <c r="G1212">
        <v>12</v>
      </c>
      <c r="H1212" t="s">
        <v>2814</v>
      </c>
      <c r="I121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12" t="s">
        <v>1217</v>
      </c>
      <c r="K1212" t="str">
        <f>RIGHT(Tabla2[[#This Row],[codigo_producto]],LEN(Tabla2[[#This Row],[codigo_producto]])-FIND("/",Tabla2[[#This Row],[codigo_producto]]))</f>
        <v>9586059S00000</v>
      </c>
      <c r="L1212" t="str">
        <f>LEFT(Tabla2[[#This Row],[codigo_producto]],FIND("/",Tabla2[[#This Row],[codigo_producto]])-1)</f>
        <v>1</v>
      </c>
      <c r="M121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213" spans="1:13" x14ac:dyDescent="0.25">
      <c r="A1213" t="s">
        <v>4031</v>
      </c>
      <c r="B1213" t="s">
        <v>2551</v>
      </c>
      <c r="C1213" t="s">
        <v>2551</v>
      </c>
      <c r="D1213">
        <v>32</v>
      </c>
      <c r="E1213">
        <v>8</v>
      </c>
      <c r="F1213">
        <v>9</v>
      </c>
      <c r="G1213">
        <v>12</v>
      </c>
      <c r="H1213" t="s">
        <v>2814</v>
      </c>
      <c r="I121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13" t="s">
        <v>1218</v>
      </c>
      <c r="K1213" t="str">
        <f>RIGHT(Tabla2[[#This Row],[codigo_producto]],LEN(Tabla2[[#This Row],[codigo_producto]])-FIND("/",Tabla2[[#This Row],[codigo_producto]]))</f>
        <v>9586061M00000</v>
      </c>
      <c r="L1213" t="str">
        <f>LEFT(Tabla2[[#This Row],[codigo_producto]],FIND("/",Tabla2[[#This Row],[codigo_producto]])-1)</f>
        <v>1</v>
      </c>
      <c r="M121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214" spans="1:13" x14ac:dyDescent="0.25">
      <c r="A1214" t="s">
        <v>4032</v>
      </c>
      <c r="B1214" t="s">
        <v>1729</v>
      </c>
      <c r="C1214" t="s">
        <v>1729</v>
      </c>
      <c r="D1214">
        <v>32</v>
      </c>
      <c r="E1214">
        <v>8</v>
      </c>
      <c r="F1214">
        <v>9</v>
      </c>
      <c r="G1214">
        <v>12</v>
      </c>
      <c r="H1214" t="s">
        <v>2814</v>
      </c>
      <c r="I121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14" t="s">
        <v>1219</v>
      </c>
      <c r="K1214" t="str">
        <f>RIGHT(Tabla2[[#This Row],[codigo_producto]],LEN(Tabla2[[#This Row],[codigo_producto]])-FIND("/",Tabla2[[#This Row],[codigo_producto]]))</f>
        <v>9586063J10000</v>
      </c>
      <c r="L1214" t="str">
        <f>LEFT(Tabla2[[#This Row],[codigo_producto]],FIND("/",Tabla2[[#This Row],[codigo_producto]])-1)</f>
        <v>1</v>
      </c>
      <c r="M121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215" spans="1:13" x14ac:dyDescent="0.25">
      <c r="A1215" t="s">
        <v>4033</v>
      </c>
      <c r="B1215" t="s">
        <v>1729</v>
      </c>
      <c r="C1215" t="s">
        <v>1729</v>
      </c>
      <c r="D1215">
        <v>32</v>
      </c>
      <c r="E1215">
        <v>8</v>
      </c>
      <c r="F1215">
        <v>9</v>
      </c>
      <c r="G1215">
        <v>12</v>
      </c>
      <c r="H1215" t="s">
        <v>2814</v>
      </c>
      <c r="I121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15" t="s">
        <v>1220</v>
      </c>
      <c r="K1215" t="str">
        <f>RIGHT(Tabla2[[#This Row],[codigo_producto]],LEN(Tabla2[[#This Row],[codigo_producto]])-FIND("/",Tabla2[[#This Row],[codigo_producto]]))</f>
        <v>9586080J00000</v>
      </c>
      <c r="L1215" t="str">
        <f>LEFT(Tabla2[[#This Row],[codigo_producto]],FIND("/",Tabla2[[#This Row],[codigo_producto]])-1)</f>
        <v>1</v>
      </c>
      <c r="M121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216" spans="1:13" x14ac:dyDescent="0.25">
      <c r="A1216" t="s">
        <v>4034</v>
      </c>
      <c r="B1216" t="s">
        <v>1729</v>
      </c>
      <c r="C1216" t="s">
        <v>1729</v>
      </c>
      <c r="D1216">
        <v>32</v>
      </c>
      <c r="E1216">
        <v>8</v>
      </c>
      <c r="F1216">
        <v>9</v>
      </c>
      <c r="G1216">
        <v>12</v>
      </c>
      <c r="H1216" t="s">
        <v>2814</v>
      </c>
      <c r="I121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16" t="s">
        <v>1221</v>
      </c>
      <c r="K1216" t="str">
        <f>RIGHT(Tabla2[[#This Row],[codigo_producto]],LEN(Tabla2[[#This Row],[codigo_producto]])-FIND("/",Tabla2[[#This Row],[codigo_producto]]))</f>
        <v>9586164J10000</v>
      </c>
      <c r="L1216" t="str">
        <f>LEFT(Tabla2[[#This Row],[codigo_producto]],FIND("/",Tabla2[[#This Row],[codigo_producto]])-1)</f>
        <v>1</v>
      </c>
      <c r="M121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217" spans="1:13" x14ac:dyDescent="0.25">
      <c r="A1217" t="s">
        <v>4035</v>
      </c>
      <c r="B1217" t="s">
        <v>1799</v>
      </c>
      <c r="C1217" t="s">
        <v>1799</v>
      </c>
      <c r="D1217">
        <v>32</v>
      </c>
      <c r="E1217">
        <v>8</v>
      </c>
      <c r="F1217">
        <v>9</v>
      </c>
      <c r="G1217">
        <v>12</v>
      </c>
      <c r="H1217" t="s">
        <v>2814</v>
      </c>
      <c r="I121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17" t="s">
        <v>1222</v>
      </c>
      <c r="K1217" t="str">
        <f>RIGHT(Tabla2[[#This Row],[codigo_producto]],LEN(Tabla2[[#This Row],[codigo_producto]])-FIND("/",Tabla2[[#This Row],[codigo_producto]]))</f>
        <v>9586171L10000</v>
      </c>
      <c r="L1217" t="str">
        <f>LEFT(Tabla2[[#This Row],[codigo_producto]],FIND("/",Tabla2[[#This Row],[codigo_producto]])-1)</f>
        <v>1</v>
      </c>
      <c r="M121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218" spans="1:13" x14ac:dyDescent="0.25">
      <c r="A1218" t="s">
        <v>4036</v>
      </c>
      <c r="B1218" t="s">
        <v>1799</v>
      </c>
      <c r="C1218" t="s">
        <v>1799</v>
      </c>
      <c r="D1218">
        <v>32</v>
      </c>
      <c r="E1218">
        <v>8</v>
      </c>
      <c r="F1218">
        <v>9</v>
      </c>
      <c r="G1218">
        <v>12</v>
      </c>
      <c r="H1218" t="s">
        <v>2814</v>
      </c>
      <c r="I121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18" t="s">
        <v>1223</v>
      </c>
      <c r="K1218" t="str">
        <f>RIGHT(Tabla2[[#This Row],[codigo_producto]],LEN(Tabla2[[#This Row],[codigo_producto]])-FIND("/",Tabla2[[#This Row],[codigo_producto]]))</f>
        <v>9586181P00000</v>
      </c>
      <c r="L1218" t="str">
        <f>LEFT(Tabla2[[#This Row],[codigo_producto]],FIND("/",Tabla2[[#This Row],[codigo_producto]])-1)</f>
        <v>1</v>
      </c>
      <c r="M121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219" spans="1:13" x14ac:dyDescent="0.25">
      <c r="A1219" t="s">
        <v>4037</v>
      </c>
      <c r="B1219" t="s">
        <v>2296</v>
      </c>
      <c r="C1219" t="s">
        <v>2296</v>
      </c>
      <c r="D1219">
        <v>22</v>
      </c>
      <c r="E1219">
        <v>8</v>
      </c>
      <c r="F1219">
        <v>9</v>
      </c>
      <c r="G1219">
        <v>12</v>
      </c>
      <c r="H1219" t="s">
        <v>2815</v>
      </c>
      <c r="I121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1219" t="s">
        <v>1224</v>
      </c>
      <c r="K1219" t="str">
        <f>RIGHT(Tabla2[[#This Row],[codigo_producto]],LEN(Tabla2[[#This Row],[codigo_producto]])-FIND("/",Tabla2[[#This Row],[codigo_producto]]))</f>
        <v>KITSEGSUZALTO</v>
      </c>
      <c r="L1219" t="str">
        <f>LEFT(Tabla2[[#This Row],[codigo_producto]],FIND("/",Tabla2[[#This Row],[codigo_producto]])-1)</f>
        <v>1</v>
      </c>
      <c r="M121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220" spans="1:13" x14ac:dyDescent="0.25">
      <c r="A1220" t="s">
        <v>4038</v>
      </c>
      <c r="B1220" t="s">
        <v>2552</v>
      </c>
      <c r="C1220" t="s">
        <v>2552</v>
      </c>
      <c r="D1220">
        <v>32</v>
      </c>
      <c r="E1220">
        <v>8</v>
      </c>
      <c r="F1220">
        <v>9</v>
      </c>
      <c r="G1220">
        <v>12</v>
      </c>
      <c r="H1220" t="s">
        <v>2814</v>
      </c>
      <c r="I122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20" t="s">
        <v>1225</v>
      </c>
      <c r="K1220" t="str">
        <f>RIGHT(Tabla2[[#This Row],[codigo_producto]],LEN(Tabla2[[#This Row],[codigo_producto]])-FIND("/",Tabla2[[#This Row],[codigo_producto]]))</f>
        <v>KITSEGSUZGRNO</v>
      </c>
      <c r="L1220" t="str">
        <f>LEFT(Tabla2[[#This Row],[codigo_producto]],FIND("/",Tabla2[[#This Row],[codigo_producto]])-1)</f>
        <v>1</v>
      </c>
      <c r="M122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221" spans="1:13" x14ac:dyDescent="0.25">
      <c r="A1221" t="s">
        <v>4039</v>
      </c>
      <c r="B1221" t="s">
        <v>1822</v>
      </c>
      <c r="C1221" t="s">
        <v>1822</v>
      </c>
      <c r="D1221">
        <v>32</v>
      </c>
      <c r="E1221">
        <v>13</v>
      </c>
      <c r="F1221">
        <v>9</v>
      </c>
      <c r="G1221">
        <v>12</v>
      </c>
      <c r="H1221" t="s">
        <v>2814</v>
      </c>
      <c r="I122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21" t="s">
        <v>1226</v>
      </c>
      <c r="K1221" t="str">
        <f>RIGHT(Tabla2[[#This Row],[codigo_producto]],LEN(Tabla2[[#This Row],[codigo_producto]])-FIND("/",Tabla2[[#This Row],[codigo_producto]]))</f>
        <v>1025011XEN01</v>
      </c>
      <c r="L1221" t="str">
        <f>LEFT(Tabla2[[#This Row],[codigo_producto]],FIND("/",Tabla2[[#This Row],[codigo_producto]])-1)</f>
        <v>10</v>
      </c>
      <c r="M122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222" spans="1:13" x14ac:dyDescent="0.25">
      <c r="A1222" t="s">
        <v>4040</v>
      </c>
      <c r="B1222" t="s">
        <v>2553</v>
      </c>
      <c r="C1222" t="s">
        <v>2553</v>
      </c>
      <c r="D1222">
        <v>32</v>
      </c>
      <c r="E1222">
        <v>13</v>
      </c>
      <c r="F1222">
        <v>9</v>
      </c>
      <c r="G1222">
        <v>12</v>
      </c>
      <c r="H1222" t="s">
        <v>2814</v>
      </c>
      <c r="I122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22" t="s">
        <v>1227</v>
      </c>
      <c r="K1222" t="str">
        <f>RIGHT(Tabla2[[#This Row],[codigo_producto]],LEN(Tabla2[[#This Row],[codigo_producto]])-FIND("/",Tabla2[[#This Row],[codigo_producto]]))</f>
        <v>ALARBASIC110</v>
      </c>
      <c r="L1222" t="str">
        <f>LEFT(Tabla2[[#This Row],[codigo_producto]],FIND("/",Tabla2[[#This Row],[codigo_producto]])-1)</f>
        <v>10</v>
      </c>
      <c r="M122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223" spans="1:13" x14ac:dyDescent="0.25">
      <c r="A1223" t="s">
        <v>4041</v>
      </c>
      <c r="B1223" t="s">
        <v>2554</v>
      </c>
      <c r="C1223" t="s">
        <v>2554</v>
      </c>
      <c r="D1223">
        <v>32</v>
      </c>
      <c r="E1223">
        <v>13</v>
      </c>
      <c r="F1223">
        <v>9</v>
      </c>
      <c r="G1223">
        <v>12</v>
      </c>
      <c r="H1223" t="s">
        <v>2814</v>
      </c>
      <c r="I122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23" t="s">
        <v>1228</v>
      </c>
      <c r="K1223" t="str">
        <f>RIGHT(Tabla2[[#This Row],[codigo_producto]],LEN(Tabla2[[#This Row],[codigo_producto]])-FIND("/",Tabla2[[#This Row],[codigo_producto]]))</f>
        <v>BS102200900A</v>
      </c>
      <c r="L1223" t="str">
        <f>LEFT(Tabla2[[#This Row],[codigo_producto]],FIND("/",Tabla2[[#This Row],[codigo_producto]])-1)</f>
        <v>10</v>
      </c>
      <c r="M122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224" spans="1:13" x14ac:dyDescent="0.25">
      <c r="A1224" t="s">
        <v>4042</v>
      </c>
      <c r="B1224" t="s">
        <v>2555</v>
      </c>
      <c r="C1224" t="s">
        <v>2555</v>
      </c>
      <c r="D1224">
        <v>21</v>
      </c>
      <c r="E1224">
        <v>13</v>
      </c>
      <c r="F1224">
        <v>9</v>
      </c>
      <c r="G1224">
        <v>12</v>
      </c>
      <c r="H1224" t="s">
        <v>2820</v>
      </c>
      <c r="I122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21</v>
      </c>
      <c r="J1224" t="s">
        <v>1229</v>
      </c>
      <c r="K1224" t="str">
        <f>RIGHT(Tabla2[[#This Row],[codigo_producto]],LEN(Tabla2[[#This Row],[codigo_producto]])-FIND("/",Tabla2[[#This Row],[codigo_producto]]))</f>
        <v>KITSEGALSVIN</v>
      </c>
      <c r="L1224" t="str">
        <f>LEFT(Tabla2[[#This Row],[codigo_producto]],FIND("/",Tabla2[[#This Row],[codigo_producto]])-1)</f>
        <v>10</v>
      </c>
      <c r="M122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225" spans="1:13" x14ac:dyDescent="0.25">
      <c r="A1225" t="s">
        <v>4043</v>
      </c>
      <c r="B1225" t="s">
        <v>2556</v>
      </c>
      <c r="C1225" t="s">
        <v>2556</v>
      </c>
      <c r="D1225">
        <v>21</v>
      </c>
      <c r="E1225">
        <v>13</v>
      </c>
      <c r="F1225">
        <v>9</v>
      </c>
      <c r="G1225">
        <v>12</v>
      </c>
      <c r="H1225" t="s">
        <v>2820</v>
      </c>
      <c r="I122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21</v>
      </c>
      <c r="J1225" t="s">
        <v>1230</v>
      </c>
      <c r="K1225" t="str">
        <f>RIGHT(Tabla2[[#This Row],[codigo_producto]],LEN(Tabla2[[#This Row],[codigo_producto]])-FIND("/",Tabla2[[#This Row],[codigo_producto]]))</f>
        <v>KITSEGCX9MDN</v>
      </c>
      <c r="L1225" t="str">
        <f>LEFT(Tabla2[[#This Row],[codigo_producto]],FIND("/",Tabla2[[#This Row],[codigo_producto]])-1)</f>
        <v>10</v>
      </c>
      <c r="M122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226" spans="1:13" x14ac:dyDescent="0.25">
      <c r="A1226" t="s">
        <v>4044</v>
      </c>
      <c r="B1226" t="s">
        <v>2557</v>
      </c>
      <c r="C1226" t="s">
        <v>2557</v>
      </c>
      <c r="D1226">
        <v>21</v>
      </c>
      <c r="E1226">
        <v>13</v>
      </c>
      <c r="F1226">
        <v>9</v>
      </c>
      <c r="G1226">
        <v>12</v>
      </c>
      <c r="H1226" t="s">
        <v>2820</v>
      </c>
      <c r="I122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21</v>
      </c>
      <c r="J1226" t="s">
        <v>1231</v>
      </c>
      <c r="K1226" t="str">
        <f>RIGHT(Tabla2[[#This Row],[codigo_producto]],LEN(Tabla2[[#This Row],[codigo_producto]])-FIND("/",Tabla2[[#This Row],[codigo_producto]]))</f>
        <v>KITSEGHUNTER</v>
      </c>
      <c r="L1226" t="str">
        <f>LEFT(Tabla2[[#This Row],[codigo_producto]],FIND("/",Tabla2[[#This Row],[codigo_producto]])-1)</f>
        <v>10</v>
      </c>
      <c r="M122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227" spans="1:13" x14ac:dyDescent="0.25">
      <c r="A1227" t="s">
        <v>4045</v>
      </c>
      <c r="B1227" t="s">
        <v>2558</v>
      </c>
      <c r="C1227" t="s">
        <v>2558</v>
      </c>
      <c r="D1227">
        <v>21</v>
      </c>
      <c r="E1227">
        <v>13</v>
      </c>
      <c r="F1227">
        <v>9</v>
      </c>
      <c r="G1227">
        <v>12</v>
      </c>
      <c r="H1227" t="s">
        <v>2820</v>
      </c>
      <c r="I122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21</v>
      </c>
      <c r="J1227" t="s">
        <v>1232</v>
      </c>
      <c r="K1227" t="str">
        <f>RIGHT(Tabla2[[#This Row],[codigo_producto]],LEN(Tabla2[[#This Row],[codigo_producto]])-FIND("/",Tabla2[[#This Row],[codigo_producto]]))</f>
        <v>KITSEGNWCS35</v>
      </c>
      <c r="L1227" t="str">
        <f>LEFT(Tabla2[[#This Row],[codigo_producto]],FIND("/",Tabla2[[#This Row],[codigo_producto]])-1)</f>
        <v>10</v>
      </c>
      <c r="M122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228" spans="1:13" x14ac:dyDescent="0.25">
      <c r="A1228" t="s">
        <v>3680</v>
      </c>
      <c r="B1228" t="s">
        <v>2343</v>
      </c>
      <c r="C1228" t="s">
        <v>2343</v>
      </c>
      <c r="D1228">
        <v>32</v>
      </c>
      <c r="E1228">
        <v>13</v>
      </c>
      <c r="F1228">
        <v>9</v>
      </c>
      <c r="G1228">
        <v>12</v>
      </c>
      <c r="H1228" t="s">
        <v>2814</v>
      </c>
      <c r="I122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28" t="s">
        <v>1233</v>
      </c>
      <c r="K1228" t="str">
        <f>RIGHT(Tabla2[[#This Row],[codigo_producto]],LEN(Tabla2[[#This Row],[codigo_producto]])-FIND("/",Tabla2[[#This Row],[codigo_producto]]))</f>
        <v>KITSEGNWM3HB</v>
      </c>
      <c r="L1228" t="str">
        <f>LEFT(Tabla2[[#This Row],[codigo_producto]],FIND("/",Tabla2[[#This Row],[codigo_producto]])-1)</f>
        <v>10</v>
      </c>
      <c r="M122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229" spans="1:13" x14ac:dyDescent="0.25">
      <c r="A1229" t="s">
        <v>4046</v>
      </c>
      <c r="B1229" t="s">
        <v>2559</v>
      </c>
      <c r="C1229" t="s">
        <v>2559</v>
      </c>
      <c r="D1229">
        <v>32</v>
      </c>
      <c r="E1229">
        <v>13</v>
      </c>
      <c r="F1229">
        <v>9</v>
      </c>
      <c r="G1229">
        <v>12</v>
      </c>
      <c r="H1229" t="s">
        <v>2814</v>
      </c>
      <c r="I122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29" t="s">
        <v>1234</v>
      </c>
      <c r="K1229" t="str">
        <f>RIGHT(Tabla2[[#This Row],[codigo_producto]],LEN(Tabla2[[#This Row],[codigo_producto]])-FIND("/",Tabla2[[#This Row],[codigo_producto]]))</f>
        <v>KITSEGNWM3SD</v>
      </c>
      <c r="L1229" t="str">
        <f>LEFT(Tabla2[[#This Row],[codigo_producto]],FIND("/",Tabla2[[#This Row],[codigo_producto]])-1)</f>
        <v>10</v>
      </c>
      <c r="M122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230" spans="1:13" x14ac:dyDescent="0.25">
      <c r="A1230" t="s">
        <v>3633</v>
      </c>
      <c r="B1230" t="s">
        <v>2560</v>
      </c>
      <c r="C1230" t="s">
        <v>2560</v>
      </c>
      <c r="D1230">
        <v>21</v>
      </c>
      <c r="E1230">
        <v>13</v>
      </c>
      <c r="F1230">
        <v>9</v>
      </c>
      <c r="G1230">
        <v>12</v>
      </c>
      <c r="H1230" t="s">
        <v>2820</v>
      </c>
      <c r="I123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21</v>
      </c>
      <c r="J1230" t="s">
        <v>1235</v>
      </c>
      <c r="K1230" t="str">
        <f>RIGHT(Tabla2[[#This Row],[codigo_producto]],LEN(Tabla2[[#This Row],[codigo_producto]])-FIND("/",Tabla2[[#This Row],[codigo_producto]]))</f>
        <v>KITSEGSUZAPV</v>
      </c>
      <c r="L1230" t="str">
        <f>LEFT(Tabla2[[#This Row],[codigo_producto]],FIND("/",Tabla2[[#This Row],[codigo_producto]])-1)</f>
        <v>10</v>
      </c>
      <c r="M123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231" spans="1:13" x14ac:dyDescent="0.25">
      <c r="A1231" t="s">
        <v>4047</v>
      </c>
      <c r="B1231" t="s">
        <v>2561</v>
      </c>
      <c r="C1231" t="s">
        <v>2561</v>
      </c>
      <c r="D1231">
        <v>25</v>
      </c>
      <c r="E1231">
        <v>13</v>
      </c>
      <c r="F1231">
        <v>9</v>
      </c>
      <c r="G1231">
        <v>12</v>
      </c>
      <c r="H1231" t="s">
        <v>2816</v>
      </c>
      <c r="I123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1231" t="s">
        <v>1236</v>
      </c>
      <c r="K1231" t="str">
        <f>RIGHT(Tabla2[[#This Row],[codigo_producto]],LEN(Tabla2[[#This Row],[codigo_producto]])-FIND("/",Tabla2[[#This Row],[codigo_producto]]))</f>
        <v>LUBCOOLANT03</v>
      </c>
      <c r="L1231" t="str">
        <f>LEFT(Tabla2[[#This Row],[codigo_producto]],FIND("/",Tabla2[[#This Row],[codigo_producto]])-1)</f>
        <v>10</v>
      </c>
      <c r="M123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232" spans="1:13" x14ac:dyDescent="0.25">
      <c r="A1232" t="s">
        <v>4048</v>
      </c>
      <c r="B1232" t="s">
        <v>2168</v>
      </c>
      <c r="C1232" t="s">
        <v>2168</v>
      </c>
      <c r="D1232">
        <v>32</v>
      </c>
      <c r="E1232">
        <v>13</v>
      </c>
      <c r="F1232">
        <v>9</v>
      </c>
      <c r="G1232">
        <v>12</v>
      </c>
      <c r="H1232" t="s">
        <v>2814</v>
      </c>
      <c r="I123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32" t="s">
        <v>1237</v>
      </c>
      <c r="K1232" t="str">
        <f>RIGHT(Tabla2[[#This Row],[codigo_producto]],LEN(Tabla2[[#This Row],[codigo_producto]])-FIND("/",Tabla2[[#This Row],[codigo_producto]]))</f>
        <v>LUBULT10PECC</v>
      </c>
      <c r="L1232" t="str">
        <f>LEFT(Tabla2[[#This Row],[codigo_producto]],FIND("/",Tabla2[[#This Row],[codigo_producto]])-1)</f>
        <v>10</v>
      </c>
      <c r="M123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233" spans="1:13" x14ac:dyDescent="0.25">
      <c r="A1233" t="s">
        <v>4049</v>
      </c>
      <c r="B1233" t="s">
        <v>2562</v>
      </c>
      <c r="C1233" t="s">
        <v>2562</v>
      </c>
      <c r="D1233">
        <v>32</v>
      </c>
      <c r="E1233">
        <v>13</v>
      </c>
      <c r="F1233">
        <v>9</v>
      </c>
      <c r="G1233">
        <v>12</v>
      </c>
      <c r="H1233" t="s">
        <v>2814</v>
      </c>
      <c r="I123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33" t="s">
        <v>1238</v>
      </c>
      <c r="K1233" t="str">
        <f>RIGHT(Tabla2[[#This Row],[codigo_producto]],LEN(Tabla2[[#This Row],[codigo_producto]])-FIND("/",Tabla2[[#This Row],[codigo_producto]]))</f>
        <v>MANUCHANCS35</v>
      </c>
      <c r="L1233" t="str">
        <f>LEFT(Tabla2[[#This Row],[codigo_producto]],FIND("/",Tabla2[[#This Row],[codigo_producto]])-1)</f>
        <v>10</v>
      </c>
      <c r="M123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234" spans="1:13" x14ac:dyDescent="0.25">
      <c r="A1234" t="s">
        <v>4050</v>
      </c>
      <c r="B1234" t="s">
        <v>1733</v>
      </c>
      <c r="C1234" t="s">
        <v>1733</v>
      </c>
      <c r="D1234">
        <v>31</v>
      </c>
      <c r="E1234">
        <v>9</v>
      </c>
      <c r="F1234">
        <v>9</v>
      </c>
      <c r="G1234">
        <v>12</v>
      </c>
      <c r="H1234" t="s">
        <v>2818</v>
      </c>
      <c r="I123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234" t="s">
        <v>1239</v>
      </c>
      <c r="K1234" t="str">
        <f>RIGHT(Tabla2[[#This Row],[codigo_producto]],LEN(Tabla2[[#This Row],[codigo_producto]])-FIND("/",Tabla2[[#This Row],[codigo_producto]]))</f>
        <v>1010320FE010</v>
      </c>
      <c r="L1234" t="str">
        <f>LEFT(Tabla2[[#This Row],[codigo_producto]],FIND("/",Tabla2[[#This Row],[codigo_producto]])-1)</f>
        <v>11</v>
      </c>
      <c r="M123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9</v>
      </c>
    </row>
    <row r="1235" spans="1:13" x14ac:dyDescent="0.25">
      <c r="A1235" t="s">
        <v>4051</v>
      </c>
      <c r="B1235" t="s">
        <v>2563</v>
      </c>
      <c r="C1235" t="s">
        <v>2563</v>
      </c>
      <c r="D1235">
        <v>31</v>
      </c>
      <c r="E1235">
        <v>9</v>
      </c>
      <c r="F1235">
        <v>9</v>
      </c>
      <c r="G1235">
        <v>12</v>
      </c>
      <c r="H1235" t="s">
        <v>2818</v>
      </c>
      <c r="I123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235" t="s">
        <v>1240</v>
      </c>
      <c r="K1235" t="str">
        <f>RIGHT(Tabla2[[#This Row],[codigo_producto]],LEN(Tabla2[[#This Row],[codigo_producto]])-FIND("/",Tabla2[[#This Row],[codigo_producto]]))</f>
        <v>1042200FE010</v>
      </c>
      <c r="L1235" t="str">
        <f>LEFT(Tabla2[[#This Row],[codigo_producto]],FIND("/",Tabla2[[#This Row],[codigo_producto]])-1)</f>
        <v>11</v>
      </c>
      <c r="M123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9</v>
      </c>
    </row>
    <row r="1236" spans="1:13" x14ac:dyDescent="0.25">
      <c r="A1236" t="s">
        <v>4052</v>
      </c>
      <c r="B1236" t="s">
        <v>2564</v>
      </c>
      <c r="C1236" t="s">
        <v>2564</v>
      </c>
      <c r="D1236">
        <v>31</v>
      </c>
      <c r="E1236">
        <v>9</v>
      </c>
      <c r="F1236">
        <v>9</v>
      </c>
      <c r="G1236">
        <v>12</v>
      </c>
      <c r="H1236" t="s">
        <v>2818</v>
      </c>
      <c r="I123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236" t="s">
        <v>1241</v>
      </c>
      <c r="K1236" t="str">
        <f>RIGHT(Tabla2[[#This Row],[codigo_producto]],LEN(Tabla2[[#This Row],[codigo_producto]])-FIND("/",Tabla2[[#This Row],[codigo_producto]]))</f>
        <v>1105013LD30J</v>
      </c>
      <c r="L1236" t="str">
        <f>LEFT(Tabla2[[#This Row],[codigo_producto]],FIND("/",Tabla2[[#This Row],[codigo_producto]])-1)</f>
        <v>11</v>
      </c>
      <c r="M123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9</v>
      </c>
    </row>
    <row r="1237" spans="1:13" x14ac:dyDescent="0.25">
      <c r="A1237" t="s">
        <v>4053</v>
      </c>
      <c r="B1237" t="s">
        <v>2413</v>
      </c>
      <c r="C1237" t="s">
        <v>2413</v>
      </c>
      <c r="D1237">
        <v>31</v>
      </c>
      <c r="E1237">
        <v>9</v>
      </c>
      <c r="F1237">
        <v>9</v>
      </c>
      <c r="G1237">
        <v>12</v>
      </c>
      <c r="H1237" t="s">
        <v>2818</v>
      </c>
      <c r="I123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237" t="s">
        <v>1242</v>
      </c>
      <c r="K1237" t="str">
        <f>RIGHT(Tabla2[[#This Row],[codigo_producto]],LEN(Tabla2[[#This Row],[codigo_producto]])-FIND("/",Tabla2[[#This Row],[codigo_producto]]))</f>
        <v>1105030LE37G</v>
      </c>
      <c r="L1237" t="str">
        <f>LEFT(Tabla2[[#This Row],[codigo_producto]],FIND("/",Tabla2[[#This Row],[codigo_producto]])-1)</f>
        <v>11</v>
      </c>
      <c r="M123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9</v>
      </c>
    </row>
    <row r="1238" spans="1:13" x14ac:dyDescent="0.25">
      <c r="A1238" t="s">
        <v>4054</v>
      </c>
      <c r="B1238" t="s">
        <v>2565</v>
      </c>
      <c r="C1238" t="s">
        <v>2565</v>
      </c>
      <c r="D1238">
        <v>31</v>
      </c>
      <c r="E1238">
        <v>9</v>
      </c>
      <c r="F1238">
        <v>9</v>
      </c>
      <c r="G1238">
        <v>12</v>
      </c>
      <c r="H1238" t="s">
        <v>2818</v>
      </c>
      <c r="I123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238" t="s">
        <v>1243</v>
      </c>
      <c r="K1238" t="str">
        <f>RIGHT(Tabla2[[#This Row],[codigo_producto]],LEN(Tabla2[[#This Row],[codigo_producto]])-FIND("/",Tabla2[[#This Row],[codigo_producto]]))</f>
        <v>1105030LG016</v>
      </c>
      <c r="L1238" t="str">
        <f>LEFT(Tabla2[[#This Row],[codigo_producto]],FIND("/",Tabla2[[#This Row],[codigo_producto]])-1)</f>
        <v>11</v>
      </c>
      <c r="M123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9</v>
      </c>
    </row>
    <row r="1239" spans="1:13" x14ac:dyDescent="0.25">
      <c r="A1239" t="s">
        <v>4055</v>
      </c>
      <c r="B1239" t="s">
        <v>1714</v>
      </c>
      <c r="C1239" t="s">
        <v>1714</v>
      </c>
      <c r="D1239">
        <v>31</v>
      </c>
      <c r="E1239">
        <v>9</v>
      </c>
      <c r="F1239">
        <v>9</v>
      </c>
      <c r="G1239">
        <v>12</v>
      </c>
      <c r="H1239" t="s">
        <v>2818</v>
      </c>
      <c r="I123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239" t="s">
        <v>1244</v>
      </c>
      <c r="K1239" t="str">
        <f>RIGHT(Tabla2[[#This Row],[codigo_producto]],LEN(Tabla2[[#This Row],[codigo_producto]])-FIND("/",Tabla2[[#This Row],[codigo_producto]]))</f>
        <v>1109130B5051</v>
      </c>
      <c r="L1239" t="str">
        <f>LEFT(Tabla2[[#This Row],[codigo_producto]],FIND("/",Tabla2[[#This Row],[codigo_producto]])-1)</f>
        <v>11</v>
      </c>
      <c r="M123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9</v>
      </c>
    </row>
    <row r="1240" spans="1:13" x14ac:dyDescent="0.25">
      <c r="A1240" t="s">
        <v>4056</v>
      </c>
      <c r="B1240" t="s">
        <v>2566</v>
      </c>
      <c r="C1240" t="s">
        <v>2566</v>
      </c>
      <c r="D1240">
        <v>31</v>
      </c>
      <c r="E1240">
        <v>9</v>
      </c>
      <c r="F1240">
        <v>9</v>
      </c>
      <c r="G1240">
        <v>12</v>
      </c>
      <c r="H1240" t="s">
        <v>2818</v>
      </c>
      <c r="I124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240" t="s">
        <v>1245</v>
      </c>
      <c r="K1240" t="str">
        <f>RIGHT(Tabla2[[#This Row],[codigo_producto]],LEN(Tabla2[[#This Row],[codigo_producto]])-FIND("/",Tabla2[[#This Row],[codigo_producto]]))</f>
        <v>1600100LD300</v>
      </c>
      <c r="L1240" t="str">
        <f>LEFT(Tabla2[[#This Row],[codigo_producto]],FIND("/",Tabla2[[#This Row],[codigo_producto]])-1)</f>
        <v>11</v>
      </c>
      <c r="M124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9</v>
      </c>
    </row>
    <row r="1241" spans="1:13" x14ac:dyDescent="0.25">
      <c r="A1241" t="s">
        <v>4057</v>
      </c>
      <c r="B1241" t="s">
        <v>1893</v>
      </c>
      <c r="C1241" t="s">
        <v>1893</v>
      </c>
      <c r="D1241">
        <v>31</v>
      </c>
      <c r="E1241">
        <v>9</v>
      </c>
      <c r="F1241">
        <v>9</v>
      </c>
      <c r="G1241">
        <v>12</v>
      </c>
      <c r="H1241" t="s">
        <v>2818</v>
      </c>
      <c r="I124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241" t="s">
        <v>1246</v>
      </c>
      <c r="K1241" t="str">
        <f>RIGHT(Tabla2[[#This Row],[codigo_producto]],LEN(Tabla2[[#This Row],[codigo_producto]])-FIND("/",Tabla2[[#This Row],[codigo_producto]]))</f>
        <v>1600200LD300</v>
      </c>
      <c r="L1241" t="str">
        <f>LEFT(Tabla2[[#This Row],[codigo_producto]],FIND("/",Tabla2[[#This Row],[codigo_producto]])-1)</f>
        <v>11</v>
      </c>
      <c r="M124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9</v>
      </c>
    </row>
    <row r="1242" spans="1:13" x14ac:dyDescent="0.25">
      <c r="A1242" t="s">
        <v>4058</v>
      </c>
      <c r="B1242" t="s">
        <v>2567</v>
      </c>
      <c r="C1242" t="s">
        <v>2567</v>
      </c>
      <c r="D1242">
        <v>31</v>
      </c>
      <c r="E1242">
        <v>9</v>
      </c>
      <c r="F1242">
        <v>9</v>
      </c>
      <c r="G1242">
        <v>12</v>
      </c>
      <c r="H1242" t="s">
        <v>2818</v>
      </c>
      <c r="I124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242" t="s">
        <v>1247</v>
      </c>
      <c r="K1242" t="str">
        <f>RIGHT(Tabla2[[#This Row],[codigo_producto]],LEN(Tabla2[[#This Row],[codigo_producto]])-FIND("/",Tabla2[[#This Row],[codigo_producto]]))</f>
        <v>6102135LE010</v>
      </c>
      <c r="L1242" t="str">
        <f>LEFT(Tabla2[[#This Row],[codigo_producto]],FIND("/",Tabla2[[#This Row],[codigo_producto]])-1)</f>
        <v>11</v>
      </c>
      <c r="M124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9</v>
      </c>
    </row>
    <row r="1243" spans="1:13" x14ac:dyDescent="0.25">
      <c r="A1243" t="s">
        <v>4059</v>
      </c>
      <c r="B1243" t="s">
        <v>2568</v>
      </c>
      <c r="C1243" t="s">
        <v>2568</v>
      </c>
      <c r="D1243">
        <v>31</v>
      </c>
      <c r="E1243">
        <v>9</v>
      </c>
      <c r="F1243">
        <v>9</v>
      </c>
      <c r="G1243">
        <v>12</v>
      </c>
      <c r="H1243" t="s">
        <v>2818</v>
      </c>
      <c r="I124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243" t="s">
        <v>1248</v>
      </c>
      <c r="K1243" t="str">
        <f>RIGHT(Tabla2[[#This Row],[codigo_producto]],LEN(Tabla2[[#This Row],[codigo_producto]])-FIND("/",Tabla2[[#This Row],[codigo_producto]]))</f>
        <v>S35010030-F3</v>
      </c>
      <c r="L1243" t="str">
        <f>LEFT(Tabla2[[#This Row],[codigo_producto]],FIND("/",Tabla2[[#This Row],[codigo_producto]])-1)</f>
        <v>11</v>
      </c>
      <c r="M124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9</v>
      </c>
    </row>
    <row r="1244" spans="1:13" x14ac:dyDescent="0.25">
      <c r="A1244" t="s">
        <v>4060</v>
      </c>
      <c r="B1244" t="s">
        <v>2569</v>
      </c>
      <c r="C1244" t="s">
        <v>2569</v>
      </c>
      <c r="D1244">
        <v>31</v>
      </c>
      <c r="E1244">
        <v>9</v>
      </c>
      <c r="F1244">
        <v>9</v>
      </c>
      <c r="G1244">
        <v>12</v>
      </c>
      <c r="H1244" t="s">
        <v>2818</v>
      </c>
      <c r="I124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244" t="s">
        <v>1249</v>
      </c>
      <c r="K1244" t="str">
        <f>RIGHT(Tabla2[[#This Row],[codigo_producto]],LEN(Tabla2[[#This Row],[codigo_producto]])-FIND("/",Tabla2[[#This Row],[codigo_producto]]))</f>
        <v>YF35FT-00113</v>
      </c>
      <c r="L1244" t="str">
        <f>LEFT(Tabla2[[#This Row],[codigo_producto]],FIND("/",Tabla2[[#This Row],[codigo_producto]])-1)</f>
        <v>11</v>
      </c>
      <c r="M124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9</v>
      </c>
    </row>
    <row r="1245" spans="1:13" x14ac:dyDescent="0.25">
      <c r="A1245" t="s">
        <v>4061</v>
      </c>
      <c r="B1245" t="s">
        <v>2570</v>
      </c>
      <c r="C1245" t="s">
        <v>2570</v>
      </c>
      <c r="D1245">
        <v>32</v>
      </c>
      <c r="E1245">
        <v>6</v>
      </c>
      <c r="F1245">
        <v>9</v>
      </c>
      <c r="G1245">
        <v>12</v>
      </c>
      <c r="H1245" t="s">
        <v>2814</v>
      </c>
      <c r="I124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45" t="s">
        <v>1250</v>
      </c>
      <c r="K1245" t="str">
        <f>RIGHT(Tabla2[[#This Row],[codigo_producto]],LEN(Tabla2[[#This Row],[codigo_producto]])-FIND("/",Tabla2[[#This Row],[codigo_producto]]))</f>
        <v>1D0143980AOTS</v>
      </c>
      <c r="L1245" t="str">
        <f>LEFT(Tabla2[[#This Row],[codigo_producto]],FIND("/",Tabla2[[#This Row],[codigo_producto]])-1)</f>
        <v>2</v>
      </c>
      <c r="M124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246" spans="1:13" x14ac:dyDescent="0.25">
      <c r="A1246" t="s">
        <v>4062</v>
      </c>
      <c r="B1246" t="s">
        <v>2570</v>
      </c>
      <c r="C1246" t="s">
        <v>2570</v>
      </c>
      <c r="D1246">
        <v>32</v>
      </c>
      <c r="E1246">
        <v>6</v>
      </c>
      <c r="F1246">
        <v>9</v>
      </c>
      <c r="G1246">
        <v>12</v>
      </c>
      <c r="H1246" t="s">
        <v>2814</v>
      </c>
      <c r="I124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46" t="s">
        <v>1251</v>
      </c>
      <c r="K1246" t="str">
        <f>RIGHT(Tabla2[[#This Row],[codigo_producto]],LEN(Tabla2[[#This Row],[codigo_producto]])-FIND("/",Tabla2[[#This Row],[codigo_producto]]))</f>
        <v>1D0343980AOTS</v>
      </c>
      <c r="L1246" t="str">
        <f>LEFT(Tabla2[[#This Row],[codigo_producto]],FIND("/",Tabla2[[#This Row],[codigo_producto]])-1)</f>
        <v>2</v>
      </c>
      <c r="M124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247" spans="1:13" x14ac:dyDescent="0.25">
      <c r="A1247" t="s">
        <v>4063</v>
      </c>
      <c r="B1247" t="s">
        <v>2571</v>
      </c>
      <c r="C1247" t="s">
        <v>2571</v>
      </c>
      <c r="D1247">
        <v>32</v>
      </c>
      <c r="E1247">
        <v>6</v>
      </c>
      <c r="F1247">
        <v>9</v>
      </c>
      <c r="G1247">
        <v>12</v>
      </c>
      <c r="H1247" t="s">
        <v>2814</v>
      </c>
      <c r="I124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47" t="s">
        <v>1252</v>
      </c>
      <c r="K1247" t="str">
        <f>RIGHT(Tabla2[[#This Row],[codigo_producto]],LEN(Tabla2[[#This Row],[codigo_producto]])-FIND("/",Tabla2[[#This Row],[codigo_producto]]))</f>
        <v>DA6A44010AOTS</v>
      </c>
      <c r="L1247" t="str">
        <f>LEFT(Tabla2[[#This Row],[codigo_producto]],FIND("/",Tabla2[[#This Row],[codigo_producto]])-1)</f>
        <v>2</v>
      </c>
      <c r="M124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248" spans="1:13" x14ac:dyDescent="0.25">
      <c r="A1248" t="s">
        <v>4064</v>
      </c>
      <c r="B1248" t="s">
        <v>2571</v>
      </c>
      <c r="C1248" t="s">
        <v>2571</v>
      </c>
      <c r="D1248">
        <v>32</v>
      </c>
      <c r="E1248">
        <v>6</v>
      </c>
      <c r="F1248">
        <v>9</v>
      </c>
      <c r="G1248">
        <v>12</v>
      </c>
      <c r="H1248" t="s">
        <v>2814</v>
      </c>
      <c r="I124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48" t="s">
        <v>1253</v>
      </c>
      <c r="K1248" t="str">
        <f>RIGHT(Tabla2[[#This Row],[codigo_producto]],LEN(Tabla2[[#This Row],[codigo_producto]])-FIND("/",Tabla2[[#This Row],[codigo_producto]]))</f>
        <v>DA6B44010AOTS</v>
      </c>
      <c r="L1248" t="str">
        <f>LEFT(Tabla2[[#This Row],[codigo_producto]],FIND("/",Tabla2[[#This Row],[codigo_producto]])-1)</f>
        <v>2</v>
      </c>
      <c r="M124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249" spans="1:13" x14ac:dyDescent="0.25">
      <c r="A1249" t="s">
        <v>4065</v>
      </c>
      <c r="B1249" t="s">
        <v>2572</v>
      </c>
      <c r="C1249" t="s">
        <v>2572</v>
      </c>
      <c r="D1249">
        <v>32</v>
      </c>
      <c r="E1249">
        <v>6</v>
      </c>
      <c r="F1249">
        <v>9</v>
      </c>
      <c r="G1249">
        <v>12</v>
      </c>
      <c r="H1249" t="s">
        <v>2814</v>
      </c>
      <c r="I124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49" t="s">
        <v>1254</v>
      </c>
      <c r="K1249" t="str">
        <f>RIGHT(Tabla2[[#This Row],[codigo_producto]],LEN(Tabla2[[#This Row],[codigo_producto]])-FIND("/",Tabla2[[#This Row],[codigo_producto]]))</f>
        <v>DAY067Y6YCOTS</v>
      </c>
      <c r="L1249" t="str">
        <f>LEFT(Tabla2[[#This Row],[codigo_producto]],FIND("/",Tabla2[[#This Row],[codigo_producto]])-1)</f>
        <v>2</v>
      </c>
      <c r="M124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250" spans="1:13" x14ac:dyDescent="0.25">
      <c r="A1250" t="s">
        <v>4066</v>
      </c>
      <c r="B1250" t="s">
        <v>2573</v>
      </c>
      <c r="C1250" t="s">
        <v>2573</v>
      </c>
      <c r="D1250">
        <v>32</v>
      </c>
      <c r="E1250">
        <v>6</v>
      </c>
      <c r="F1250">
        <v>9</v>
      </c>
      <c r="G1250">
        <v>12</v>
      </c>
      <c r="H1250" t="s">
        <v>2814</v>
      </c>
      <c r="I125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50" t="s">
        <v>1255</v>
      </c>
      <c r="K1250" t="str">
        <f>RIGHT(Tabla2[[#This Row],[codigo_producto]],LEN(Tabla2[[#This Row],[codigo_producto]])-FIND("/",Tabla2[[#This Row],[codigo_producto]]))</f>
        <v>KITSEGNWBT50P</v>
      </c>
      <c r="L1250" t="str">
        <f>LEFT(Tabla2[[#This Row],[codigo_producto]],FIND("/",Tabla2[[#This Row],[codigo_producto]])-1)</f>
        <v>2</v>
      </c>
      <c r="M125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251" spans="1:13" x14ac:dyDescent="0.25">
      <c r="A1251" t="s">
        <v>4067</v>
      </c>
      <c r="B1251" t="s">
        <v>2574</v>
      </c>
      <c r="C1251" t="s">
        <v>2574</v>
      </c>
      <c r="D1251">
        <v>32</v>
      </c>
      <c r="E1251">
        <v>6</v>
      </c>
      <c r="F1251">
        <v>9</v>
      </c>
      <c r="G1251">
        <v>12</v>
      </c>
      <c r="H1251" t="s">
        <v>2814</v>
      </c>
      <c r="I125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51" t="s">
        <v>1256</v>
      </c>
      <c r="K1251" t="str">
        <f>RIGHT(Tabla2[[#This Row],[codigo_producto]],LEN(Tabla2[[#This Row],[codigo_producto]])-FIND("/",Tabla2[[#This Row],[codigo_producto]]))</f>
        <v>TA0A626H0EOTS</v>
      </c>
      <c r="L1251" t="str">
        <f>LEFT(Tabla2[[#This Row],[codigo_producto]],FIND("/",Tabla2[[#This Row],[codigo_producto]])-1)</f>
        <v>2</v>
      </c>
      <c r="M125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252" spans="1:13" x14ac:dyDescent="0.25">
      <c r="A1252" t="s">
        <v>4068</v>
      </c>
      <c r="B1252" t="s">
        <v>2575</v>
      </c>
      <c r="C1252" t="s">
        <v>2575</v>
      </c>
      <c r="D1252">
        <v>32</v>
      </c>
      <c r="E1252">
        <v>7</v>
      </c>
      <c r="F1252">
        <v>9</v>
      </c>
      <c r="G1252">
        <v>12</v>
      </c>
      <c r="H1252" t="s">
        <v>2814</v>
      </c>
      <c r="I125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52" t="s">
        <v>1257</v>
      </c>
      <c r="K1252" t="str">
        <f>RIGHT(Tabla2[[#This Row],[codigo_producto]],LEN(Tabla2[[#This Row],[codigo_producto]])-FIND("/",Tabla2[[#This Row],[codigo_producto]]))</f>
        <v>00890 321 185</v>
      </c>
      <c r="L1252" t="str">
        <f>LEFT(Tabla2[[#This Row],[codigo_producto]],FIND("/",Tabla2[[#This Row],[codigo_producto]])-1)</f>
        <v>3</v>
      </c>
      <c r="M125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1253" spans="1:13" x14ac:dyDescent="0.25">
      <c r="A1253" t="s">
        <v>4069</v>
      </c>
      <c r="B1253" t="s">
        <v>2576</v>
      </c>
      <c r="C1253" t="s">
        <v>2576</v>
      </c>
      <c r="D1253">
        <v>32</v>
      </c>
      <c r="E1253">
        <v>7</v>
      </c>
      <c r="F1253">
        <v>9</v>
      </c>
      <c r="G1253">
        <v>12</v>
      </c>
      <c r="H1253" t="s">
        <v>2814</v>
      </c>
      <c r="I125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53" t="s">
        <v>1258</v>
      </c>
      <c r="K1253" t="str">
        <f>RIGHT(Tabla2[[#This Row],[codigo_producto]],LEN(Tabla2[[#This Row],[codigo_producto]])-FIND("/",Tabla2[[#This Row],[codigo_producto]]))</f>
        <v>472104244ROTS</v>
      </c>
      <c r="L1253" t="str">
        <f>LEFT(Tabla2[[#This Row],[codigo_producto]],FIND("/",Tabla2[[#This Row],[codigo_producto]])-1)</f>
        <v>3</v>
      </c>
      <c r="M125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1254" spans="1:13" x14ac:dyDescent="0.25">
      <c r="A1254" t="s">
        <v>4070</v>
      </c>
      <c r="B1254" t="s">
        <v>2577</v>
      </c>
      <c r="C1254" t="s">
        <v>2577</v>
      </c>
      <c r="D1254">
        <v>32</v>
      </c>
      <c r="E1254">
        <v>7</v>
      </c>
      <c r="F1254">
        <v>9</v>
      </c>
      <c r="G1254">
        <v>12</v>
      </c>
      <c r="H1254" t="s">
        <v>2814</v>
      </c>
      <c r="I125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54" t="s">
        <v>1259</v>
      </c>
      <c r="K1254" t="str">
        <f>RIGHT(Tabla2[[#This Row],[codigo_producto]],LEN(Tabla2[[#This Row],[codigo_producto]])-FIND("/",Tabla2[[#This Row],[codigo_producto]]))</f>
        <v>497213913ROTS</v>
      </c>
      <c r="L1254" t="str">
        <f>LEFT(Tabla2[[#This Row],[codigo_producto]],FIND("/",Tabla2[[#This Row],[codigo_producto]])-1)</f>
        <v>3</v>
      </c>
      <c r="M125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1255" spans="1:13" x14ac:dyDescent="0.25">
      <c r="A1255" t="s">
        <v>4071</v>
      </c>
      <c r="B1255" t="s">
        <v>2578</v>
      </c>
      <c r="C1255" t="s">
        <v>2578</v>
      </c>
      <c r="D1255">
        <v>32</v>
      </c>
      <c r="E1255">
        <v>7</v>
      </c>
      <c r="F1255">
        <v>9</v>
      </c>
      <c r="G1255">
        <v>12</v>
      </c>
      <c r="H1255" t="s">
        <v>2814</v>
      </c>
      <c r="I125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55" t="s">
        <v>1260</v>
      </c>
      <c r="K1255" t="str">
        <f>RIGHT(Tabla2[[#This Row],[codigo_producto]],LEN(Tabla2[[#This Row],[codigo_producto]])-FIND("/",Tabla2[[#This Row],[codigo_producto]]))</f>
        <v>497218897ROTS</v>
      </c>
      <c r="L1255" t="str">
        <f>LEFT(Tabla2[[#This Row],[codigo_producto]],FIND("/",Tabla2[[#This Row],[codigo_producto]])-1)</f>
        <v>3</v>
      </c>
      <c r="M125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1256" spans="1:13" x14ac:dyDescent="0.25">
      <c r="A1256" t="s">
        <v>4072</v>
      </c>
      <c r="B1256" t="s">
        <v>2579</v>
      </c>
      <c r="C1256" t="s">
        <v>2579</v>
      </c>
      <c r="D1256">
        <v>32</v>
      </c>
      <c r="E1256">
        <v>7</v>
      </c>
      <c r="F1256">
        <v>9</v>
      </c>
      <c r="G1256">
        <v>12</v>
      </c>
      <c r="H1256" t="s">
        <v>2814</v>
      </c>
      <c r="I125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56" t="s">
        <v>1261</v>
      </c>
      <c r="K1256" t="str">
        <f>RIGHT(Tabla2[[#This Row],[codigo_producto]],LEN(Tabla2[[#This Row],[codigo_producto]])-FIND("/",Tabla2[[#This Row],[codigo_producto]]))</f>
        <v>497251364ROTS</v>
      </c>
      <c r="L1256" t="str">
        <f>LEFT(Tabla2[[#This Row],[codigo_producto]],FIND("/",Tabla2[[#This Row],[codigo_producto]])-1)</f>
        <v>3</v>
      </c>
      <c r="M125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1257" spans="1:13" x14ac:dyDescent="0.25">
      <c r="A1257" t="s">
        <v>4073</v>
      </c>
      <c r="B1257" t="s">
        <v>2577</v>
      </c>
      <c r="C1257" t="s">
        <v>2577</v>
      </c>
      <c r="D1257">
        <v>32</v>
      </c>
      <c r="E1257">
        <v>7</v>
      </c>
      <c r="F1257">
        <v>9</v>
      </c>
      <c r="G1257">
        <v>12</v>
      </c>
      <c r="H1257" t="s">
        <v>2814</v>
      </c>
      <c r="I125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57" t="s">
        <v>1262</v>
      </c>
      <c r="K1257" t="str">
        <f>RIGHT(Tabla2[[#This Row],[codigo_producto]],LEN(Tabla2[[#This Row],[codigo_producto]])-FIND("/",Tabla2[[#This Row],[codigo_producto]]))</f>
        <v>497252681ROTS</v>
      </c>
      <c r="L1257" t="str">
        <f>LEFT(Tabla2[[#This Row],[codigo_producto]],FIND("/",Tabla2[[#This Row],[codigo_producto]])-1)</f>
        <v>3</v>
      </c>
      <c r="M125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1258" spans="1:13" x14ac:dyDescent="0.25">
      <c r="A1258" t="s">
        <v>4074</v>
      </c>
      <c r="B1258" t="s">
        <v>2580</v>
      </c>
      <c r="C1258" t="s">
        <v>2580</v>
      </c>
      <c r="D1258">
        <v>32</v>
      </c>
      <c r="E1258">
        <v>7</v>
      </c>
      <c r="F1258">
        <v>9</v>
      </c>
      <c r="G1258">
        <v>12</v>
      </c>
      <c r="H1258" t="s">
        <v>2814</v>
      </c>
      <c r="I125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58" t="s">
        <v>1263</v>
      </c>
      <c r="K1258" t="str">
        <f>RIGHT(Tabla2[[#This Row],[codigo_producto]],LEN(Tabla2[[#This Row],[codigo_producto]])-FIND("/",Tabla2[[#This Row],[codigo_producto]]))</f>
        <v>497509934ROTS</v>
      </c>
      <c r="L1258" t="str">
        <f>LEFT(Tabla2[[#This Row],[codigo_producto]],FIND("/",Tabla2[[#This Row],[codigo_producto]])-1)</f>
        <v>3</v>
      </c>
      <c r="M125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1259" spans="1:13" x14ac:dyDescent="0.25">
      <c r="A1259" t="s">
        <v>4075</v>
      </c>
      <c r="B1259" t="s">
        <v>2581</v>
      </c>
      <c r="C1259" t="s">
        <v>2581</v>
      </c>
      <c r="D1259">
        <v>32</v>
      </c>
      <c r="E1259">
        <v>7</v>
      </c>
      <c r="F1259">
        <v>9</v>
      </c>
      <c r="G1259">
        <v>12</v>
      </c>
      <c r="H1259" t="s">
        <v>2814</v>
      </c>
      <c r="I125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59" t="s">
        <v>1264</v>
      </c>
      <c r="K1259" t="str">
        <f>RIGHT(Tabla2[[#This Row],[codigo_producto]],LEN(Tabla2[[#This Row],[codigo_producto]])-FIND("/",Tabla2[[#This Row],[codigo_producto]]))</f>
        <v>7701049351OTS</v>
      </c>
      <c r="L1259" t="str">
        <f>LEFT(Tabla2[[#This Row],[codigo_producto]],FIND("/",Tabla2[[#This Row],[codigo_producto]])-1)</f>
        <v>3</v>
      </c>
      <c r="M125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1260" spans="1:13" x14ac:dyDescent="0.25">
      <c r="A1260" t="s">
        <v>4076</v>
      </c>
      <c r="B1260" t="s">
        <v>2582</v>
      </c>
      <c r="C1260" t="s">
        <v>2582</v>
      </c>
      <c r="D1260">
        <v>32</v>
      </c>
      <c r="E1260">
        <v>7</v>
      </c>
      <c r="F1260">
        <v>9</v>
      </c>
      <c r="G1260">
        <v>12</v>
      </c>
      <c r="H1260" t="s">
        <v>2814</v>
      </c>
      <c r="I126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60" t="s">
        <v>1265</v>
      </c>
      <c r="K1260" t="str">
        <f>RIGHT(Tabla2[[#This Row],[codigo_producto]],LEN(Tabla2[[#This Row],[codigo_producto]])-FIND("/",Tabla2[[#This Row],[codigo_producto]]))</f>
        <v>8200420641OTS</v>
      </c>
      <c r="L1260" t="str">
        <f>LEFT(Tabla2[[#This Row],[codigo_producto]],FIND("/",Tabla2[[#This Row],[codigo_producto]])-1)</f>
        <v>3</v>
      </c>
      <c r="M126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1261" spans="1:13" x14ac:dyDescent="0.25">
      <c r="A1261" t="s">
        <v>4077</v>
      </c>
      <c r="B1261" t="s">
        <v>2583</v>
      </c>
      <c r="C1261" t="s">
        <v>2583</v>
      </c>
      <c r="D1261">
        <v>32</v>
      </c>
      <c r="E1261">
        <v>7</v>
      </c>
      <c r="F1261">
        <v>9</v>
      </c>
      <c r="G1261">
        <v>12</v>
      </c>
      <c r="H1261" t="s">
        <v>2814</v>
      </c>
      <c r="I126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61" t="s">
        <v>1266</v>
      </c>
      <c r="K1261" t="str">
        <f>RIGHT(Tabla2[[#This Row],[codigo_producto]],LEN(Tabla2[[#This Row],[codigo_producto]])-FIND("/",Tabla2[[#This Row],[codigo_producto]]))</f>
        <v>985708615ROTS</v>
      </c>
      <c r="L1261" t="str">
        <f>LEFT(Tabla2[[#This Row],[codigo_producto]],FIND("/",Tabla2[[#This Row],[codigo_producto]])-1)</f>
        <v>3</v>
      </c>
      <c r="M126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1262" spans="1:13" x14ac:dyDescent="0.25">
      <c r="A1262" t="s">
        <v>4078</v>
      </c>
      <c r="B1262" t="s">
        <v>2584</v>
      </c>
      <c r="C1262" t="s">
        <v>2584</v>
      </c>
      <c r="D1262">
        <v>32</v>
      </c>
      <c r="E1262">
        <v>7</v>
      </c>
      <c r="F1262">
        <v>9</v>
      </c>
      <c r="G1262">
        <v>12</v>
      </c>
      <c r="H1262" t="s">
        <v>2814</v>
      </c>
      <c r="I126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62" t="s">
        <v>1267</v>
      </c>
      <c r="K1262" t="str">
        <f>RIGHT(Tabla2[[#This Row],[codigo_producto]],LEN(Tabla2[[#This Row],[codigo_producto]])-FIND("/",Tabla2[[#This Row],[codigo_producto]]))</f>
        <v>AG00001356K01</v>
      </c>
      <c r="L1262" t="str">
        <f>LEFT(Tabla2[[#This Row],[codigo_producto]],FIND("/",Tabla2[[#This Row],[codigo_producto]])-1)</f>
        <v>3</v>
      </c>
      <c r="M126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1263" spans="1:13" x14ac:dyDescent="0.25">
      <c r="A1263" t="s">
        <v>4079</v>
      </c>
      <c r="B1263" t="s">
        <v>2585</v>
      </c>
      <c r="C1263" t="s">
        <v>2585</v>
      </c>
      <c r="D1263">
        <v>32</v>
      </c>
      <c r="E1263">
        <v>7</v>
      </c>
      <c r="F1263">
        <v>9</v>
      </c>
      <c r="G1263">
        <v>12</v>
      </c>
      <c r="H1263" t="s">
        <v>2814</v>
      </c>
      <c r="I126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63" t="s">
        <v>1268</v>
      </c>
      <c r="K1263" t="str">
        <f>RIGHT(Tabla2[[#This Row],[codigo_producto]],LEN(Tabla2[[#This Row],[codigo_producto]])-FIND("/",Tabla2[[#This Row],[codigo_producto]]))</f>
        <v>KITSEGSTEPWAY</v>
      </c>
      <c r="L1263" t="str">
        <f>LEFT(Tabla2[[#This Row],[codigo_producto]],FIND("/",Tabla2[[#This Row],[codigo_producto]])-1)</f>
        <v>3</v>
      </c>
      <c r="M126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1264" spans="1:13" x14ac:dyDescent="0.25">
      <c r="A1264" t="s">
        <v>4080</v>
      </c>
      <c r="B1264" t="s">
        <v>1714</v>
      </c>
      <c r="C1264" t="s">
        <v>1714</v>
      </c>
      <c r="D1264">
        <v>32</v>
      </c>
      <c r="E1264">
        <v>3</v>
      </c>
      <c r="F1264">
        <v>9</v>
      </c>
      <c r="G1264">
        <v>12</v>
      </c>
      <c r="H1264" t="s">
        <v>2814</v>
      </c>
      <c r="I126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64" t="s">
        <v>1269</v>
      </c>
      <c r="K1264" t="str">
        <f>RIGHT(Tabla2[[#This Row],[codigo_producto]],LEN(Tabla2[[#This Row],[codigo_producto]])-FIND("/",Tabla2[[#This Row],[codigo_producto]]))</f>
        <v>1109101XGW01A</v>
      </c>
      <c r="L1264" t="str">
        <f>LEFT(Tabla2[[#This Row],[codigo_producto]],FIND("/",Tabla2[[#This Row],[codigo_producto]])-1)</f>
        <v>5</v>
      </c>
      <c r="M126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65" spans="1:13" x14ac:dyDescent="0.25">
      <c r="A1265" t="s">
        <v>4081</v>
      </c>
      <c r="B1265" t="s">
        <v>1715</v>
      </c>
      <c r="C1265" t="s">
        <v>1715</v>
      </c>
      <c r="D1265">
        <v>32</v>
      </c>
      <c r="E1265">
        <v>3</v>
      </c>
      <c r="F1265">
        <v>9</v>
      </c>
      <c r="G1265">
        <v>12</v>
      </c>
      <c r="H1265" t="s">
        <v>2814</v>
      </c>
      <c r="I126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65" t="s">
        <v>1270</v>
      </c>
      <c r="K1265" t="str">
        <f>RIGHT(Tabla2[[#This Row],[codigo_producto]],LEN(Tabla2[[#This Row],[codigo_producto]])-FIND("/",Tabla2[[#This Row],[codigo_producto]]))</f>
        <v>1109101XS16XB</v>
      </c>
      <c r="L1265" t="str">
        <f>LEFT(Tabla2[[#This Row],[codigo_producto]],FIND("/",Tabla2[[#This Row],[codigo_producto]])-1)</f>
        <v>5</v>
      </c>
      <c r="M126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66" spans="1:13" x14ac:dyDescent="0.25">
      <c r="A1266" t="s">
        <v>4082</v>
      </c>
      <c r="B1266" t="s">
        <v>1715</v>
      </c>
      <c r="C1266" t="s">
        <v>1715</v>
      </c>
      <c r="D1266">
        <v>32</v>
      </c>
      <c r="E1266">
        <v>3</v>
      </c>
      <c r="F1266">
        <v>9</v>
      </c>
      <c r="G1266">
        <v>12</v>
      </c>
      <c r="H1266" t="s">
        <v>2814</v>
      </c>
      <c r="I126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66" t="s">
        <v>1271</v>
      </c>
      <c r="K1266" t="str">
        <f>RIGHT(Tabla2[[#This Row],[codigo_producto]],LEN(Tabla2[[#This Row],[codigo_producto]])-FIND("/",Tabla2[[#This Row],[codigo_producto]]))</f>
        <v>1109103XKM01A</v>
      </c>
      <c r="L1266" t="str">
        <f>LEFT(Tabla2[[#This Row],[codigo_producto]],FIND("/",Tabla2[[#This Row],[codigo_producto]])-1)</f>
        <v>5</v>
      </c>
      <c r="M126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67" spans="1:13" x14ac:dyDescent="0.25">
      <c r="A1267" t="s">
        <v>4083</v>
      </c>
      <c r="B1267" t="s">
        <v>1715</v>
      </c>
      <c r="C1267" t="s">
        <v>1715</v>
      </c>
      <c r="D1267">
        <v>31</v>
      </c>
      <c r="E1267">
        <v>3</v>
      </c>
      <c r="F1267">
        <v>9</v>
      </c>
      <c r="G1267">
        <v>12</v>
      </c>
      <c r="H1267" t="s">
        <v>2818</v>
      </c>
      <c r="I126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267" t="s">
        <v>1272</v>
      </c>
      <c r="K1267" t="str">
        <f>RIGHT(Tabla2[[#This Row],[codigo_producto]],LEN(Tabla2[[#This Row],[codigo_producto]])-FIND("/",Tabla2[[#This Row],[codigo_producto]]))</f>
        <v>1109104XGW02A</v>
      </c>
      <c r="L1267" t="str">
        <f>LEFT(Tabla2[[#This Row],[codigo_producto]],FIND("/",Tabla2[[#This Row],[codigo_producto]])-1)</f>
        <v>5</v>
      </c>
      <c r="M126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68" spans="1:13" x14ac:dyDescent="0.25">
      <c r="A1268" t="s">
        <v>4084</v>
      </c>
      <c r="B1268" t="s">
        <v>1714</v>
      </c>
      <c r="C1268" t="s">
        <v>1714</v>
      </c>
      <c r="D1268">
        <v>32</v>
      </c>
      <c r="E1268">
        <v>3</v>
      </c>
      <c r="F1268">
        <v>9</v>
      </c>
      <c r="G1268">
        <v>12</v>
      </c>
      <c r="H1268" t="s">
        <v>2814</v>
      </c>
      <c r="I126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68" t="s">
        <v>1273</v>
      </c>
      <c r="K1268" t="str">
        <f>RIGHT(Tabla2[[#This Row],[codigo_producto]],LEN(Tabla2[[#This Row],[codigo_producto]])-FIND("/",Tabla2[[#This Row],[codigo_producto]]))</f>
        <v>1109110XKZ16A</v>
      </c>
      <c r="L1268" t="str">
        <f>LEFT(Tabla2[[#This Row],[codigo_producto]],FIND("/",Tabla2[[#This Row],[codigo_producto]])-1)</f>
        <v>5</v>
      </c>
      <c r="M126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69" spans="1:13" x14ac:dyDescent="0.25">
      <c r="A1269" t="s">
        <v>4085</v>
      </c>
      <c r="B1269" t="s">
        <v>1714</v>
      </c>
      <c r="C1269" t="s">
        <v>1714</v>
      </c>
      <c r="D1269">
        <v>32</v>
      </c>
      <c r="E1269">
        <v>3</v>
      </c>
      <c r="F1269">
        <v>9</v>
      </c>
      <c r="G1269">
        <v>12</v>
      </c>
      <c r="H1269" t="s">
        <v>2814</v>
      </c>
      <c r="I126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69" t="s">
        <v>1274</v>
      </c>
      <c r="K1269" t="str">
        <f>RIGHT(Tabla2[[#This Row],[codigo_producto]],LEN(Tabla2[[#This Row],[codigo_producto]])-FIND("/",Tabla2[[#This Row],[codigo_producto]]))</f>
        <v>1109110XKZ1DA</v>
      </c>
      <c r="L1269" t="str">
        <f>LEFT(Tabla2[[#This Row],[codigo_producto]],FIND("/",Tabla2[[#This Row],[codigo_producto]])-1)</f>
        <v>5</v>
      </c>
      <c r="M126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70" spans="1:13" x14ac:dyDescent="0.25">
      <c r="A1270" t="s">
        <v>4086</v>
      </c>
      <c r="B1270" t="s">
        <v>1714</v>
      </c>
      <c r="C1270" t="s">
        <v>1714</v>
      </c>
      <c r="D1270">
        <v>32</v>
      </c>
      <c r="E1270">
        <v>3</v>
      </c>
      <c r="F1270">
        <v>9</v>
      </c>
      <c r="G1270">
        <v>12</v>
      </c>
      <c r="H1270" t="s">
        <v>2814</v>
      </c>
      <c r="I127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70" t="s">
        <v>1275</v>
      </c>
      <c r="K1270" t="str">
        <f>RIGHT(Tabla2[[#This Row],[codigo_producto]],LEN(Tabla2[[#This Row],[codigo_producto]])-FIND("/",Tabla2[[#This Row],[codigo_producto]]))</f>
        <v>1109110XP64XA</v>
      </c>
      <c r="L1270" t="str">
        <f>LEFT(Tabla2[[#This Row],[codigo_producto]],FIND("/",Tabla2[[#This Row],[codigo_producto]])-1)</f>
        <v>5</v>
      </c>
      <c r="M127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71" spans="1:13" x14ac:dyDescent="0.25">
      <c r="A1271" t="s">
        <v>4087</v>
      </c>
      <c r="B1271" t="s">
        <v>1715</v>
      </c>
      <c r="C1271" t="s">
        <v>1715</v>
      </c>
      <c r="D1271">
        <v>32</v>
      </c>
      <c r="E1271">
        <v>3</v>
      </c>
      <c r="F1271">
        <v>9</v>
      </c>
      <c r="G1271">
        <v>12</v>
      </c>
      <c r="H1271" t="s">
        <v>2814</v>
      </c>
      <c r="I127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71" t="s">
        <v>1276</v>
      </c>
      <c r="K1271" t="str">
        <f>RIGHT(Tabla2[[#This Row],[codigo_producto]],LEN(Tabla2[[#This Row],[codigo_producto]])-FIND("/",Tabla2[[#This Row],[codigo_producto]]))</f>
        <v>1109110XP6EXA</v>
      </c>
      <c r="L1271" t="str">
        <f>LEFT(Tabla2[[#This Row],[codigo_producto]],FIND("/",Tabla2[[#This Row],[codigo_producto]])-1)</f>
        <v>5</v>
      </c>
      <c r="M127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72" spans="1:13" x14ac:dyDescent="0.25">
      <c r="A1272" t="s">
        <v>4088</v>
      </c>
      <c r="B1272" t="s">
        <v>1714</v>
      </c>
      <c r="C1272" t="s">
        <v>1714</v>
      </c>
      <c r="D1272">
        <v>32</v>
      </c>
      <c r="E1272">
        <v>3</v>
      </c>
      <c r="F1272">
        <v>9</v>
      </c>
      <c r="G1272">
        <v>12</v>
      </c>
      <c r="H1272" t="s">
        <v>2814</v>
      </c>
      <c r="I127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72" t="s">
        <v>1277</v>
      </c>
      <c r="K1272" t="str">
        <f>RIGHT(Tabla2[[#This Row],[codigo_producto]],LEN(Tabla2[[#This Row],[codigo_producto]])-FIND("/",Tabla2[[#This Row],[codigo_producto]]))</f>
        <v>1109110XSZ08A</v>
      </c>
      <c r="L1272" t="str">
        <f>LEFT(Tabla2[[#This Row],[codigo_producto]],FIND("/",Tabla2[[#This Row],[codigo_producto]])-1)</f>
        <v>5</v>
      </c>
      <c r="M127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73" spans="1:13" x14ac:dyDescent="0.25">
      <c r="A1273" t="s">
        <v>4089</v>
      </c>
      <c r="B1273" t="s">
        <v>2586</v>
      </c>
      <c r="C1273" t="s">
        <v>2586</v>
      </c>
      <c r="D1273">
        <v>32</v>
      </c>
      <c r="E1273">
        <v>3</v>
      </c>
      <c r="F1273">
        <v>9</v>
      </c>
      <c r="G1273">
        <v>12</v>
      </c>
      <c r="H1273" t="s">
        <v>2814</v>
      </c>
      <c r="I127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73" t="s">
        <v>1278</v>
      </c>
      <c r="K1273" t="str">
        <f>RIGHT(Tabla2[[#This Row],[codigo_producto]],LEN(Tabla2[[#This Row],[codigo_producto]])-FIND("/",Tabla2[[#This Row],[codigo_producto]]))</f>
        <v>1119100XP45AA</v>
      </c>
      <c r="L1273" t="str">
        <f>LEFT(Tabla2[[#This Row],[codigo_producto]],FIND("/",Tabla2[[#This Row],[codigo_producto]])-1)</f>
        <v>5</v>
      </c>
      <c r="M127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74" spans="1:13" x14ac:dyDescent="0.25">
      <c r="A1274" t="s">
        <v>4090</v>
      </c>
      <c r="B1274" t="s">
        <v>2587</v>
      </c>
      <c r="C1274" t="s">
        <v>2587</v>
      </c>
      <c r="D1274">
        <v>31</v>
      </c>
      <c r="E1274">
        <v>3</v>
      </c>
      <c r="F1274">
        <v>9</v>
      </c>
      <c r="G1274">
        <v>12</v>
      </c>
      <c r="H1274" t="s">
        <v>2818</v>
      </c>
      <c r="I127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274" t="s">
        <v>1279</v>
      </c>
      <c r="K1274" t="str">
        <f>RIGHT(Tabla2[[#This Row],[codigo_producto]],LEN(Tabla2[[#This Row],[codigo_producto]])-FIND("/",Tabla2[[#This Row],[codigo_producto]]))</f>
        <v>1119114XP64XA</v>
      </c>
      <c r="L1274" t="str">
        <f>LEFT(Tabla2[[#This Row],[codigo_producto]],FIND("/",Tabla2[[#This Row],[codigo_producto]])-1)</f>
        <v>5</v>
      </c>
      <c r="M127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75" spans="1:13" x14ac:dyDescent="0.25">
      <c r="A1275" t="s">
        <v>4091</v>
      </c>
      <c r="B1275" t="s">
        <v>2588</v>
      </c>
      <c r="C1275" t="s">
        <v>2588</v>
      </c>
      <c r="D1275">
        <v>32</v>
      </c>
      <c r="E1275">
        <v>3</v>
      </c>
      <c r="F1275">
        <v>9</v>
      </c>
      <c r="G1275">
        <v>12</v>
      </c>
      <c r="H1275" t="s">
        <v>2814</v>
      </c>
      <c r="I127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75" t="s">
        <v>1280</v>
      </c>
      <c r="K1275" t="str">
        <f>RIGHT(Tabla2[[#This Row],[codigo_producto]],LEN(Tabla2[[#This Row],[codigo_producto]])-FIND("/",Tabla2[[#This Row],[codigo_producto]]))</f>
        <v>1123101APW01B</v>
      </c>
      <c r="L1275" t="str">
        <f>LEFT(Tabla2[[#This Row],[codigo_producto]],FIND("/",Tabla2[[#This Row],[codigo_producto]])-1)</f>
        <v>5</v>
      </c>
      <c r="M127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76" spans="1:13" x14ac:dyDescent="0.25">
      <c r="A1276" t="s">
        <v>4092</v>
      </c>
      <c r="B1276" t="s">
        <v>2366</v>
      </c>
      <c r="C1276" t="s">
        <v>2366</v>
      </c>
      <c r="D1276">
        <v>32</v>
      </c>
      <c r="E1276">
        <v>3</v>
      </c>
      <c r="F1276">
        <v>9</v>
      </c>
      <c r="G1276">
        <v>12</v>
      </c>
      <c r="H1276" t="s">
        <v>2814</v>
      </c>
      <c r="I127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76" t="s">
        <v>1281</v>
      </c>
      <c r="K1276" t="str">
        <f>RIGHT(Tabla2[[#This Row],[codigo_producto]],LEN(Tabla2[[#This Row],[codigo_producto]])-FIND("/",Tabla2[[#This Row],[codigo_producto]]))</f>
        <v>1207101XED01B</v>
      </c>
      <c r="L1276" t="str">
        <f>LEFT(Tabla2[[#This Row],[codigo_producto]],FIND("/",Tabla2[[#This Row],[codigo_producto]])-1)</f>
        <v>5</v>
      </c>
      <c r="M127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77" spans="1:13" x14ac:dyDescent="0.25">
      <c r="A1277" t="s">
        <v>4093</v>
      </c>
      <c r="B1277" t="s">
        <v>2589</v>
      </c>
      <c r="C1277" t="s">
        <v>2589</v>
      </c>
      <c r="D1277">
        <v>32</v>
      </c>
      <c r="E1277">
        <v>3</v>
      </c>
      <c r="F1277">
        <v>9</v>
      </c>
      <c r="G1277">
        <v>12</v>
      </c>
      <c r="H1277" t="s">
        <v>2814</v>
      </c>
      <c r="I127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77" t="s">
        <v>1282</v>
      </c>
      <c r="K1277" t="str">
        <f>RIGHT(Tabla2[[#This Row],[codigo_producto]],LEN(Tabla2[[#This Row],[codigo_producto]])-FIND("/",Tabla2[[#This Row],[codigo_producto]]))</f>
        <v>1601001XPW01A</v>
      </c>
      <c r="L1277" t="str">
        <f>LEFT(Tabla2[[#This Row],[codigo_producto]],FIND("/",Tabla2[[#This Row],[codigo_producto]])-1)</f>
        <v>5</v>
      </c>
      <c r="M127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78" spans="1:13" x14ac:dyDescent="0.25">
      <c r="A1278" t="s">
        <v>4094</v>
      </c>
      <c r="B1278" t="s">
        <v>2590</v>
      </c>
      <c r="C1278" t="s">
        <v>2590</v>
      </c>
      <c r="D1278">
        <v>32</v>
      </c>
      <c r="E1278">
        <v>3</v>
      </c>
      <c r="F1278">
        <v>9</v>
      </c>
      <c r="G1278">
        <v>12</v>
      </c>
      <c r="H1278" t="s">
        <v>2814</v>
      </c>
      <c r="I127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78" t="s">
        <v>1283</v>
      </c>
      <c r="K1278" t="str">
        <f>RIGHT(Tabla2[[#This Row],[codigo_producto]],LEN(Tabla2[[#This Row],[codigo_producto]])-FIND("/",Tabla2[[#This Row],[codigo_producto]]))</f>
        <v>1601002XPW01A</v>
      </c>
      <c r="L1278" t="str">
        <f>LEFT(Tabla2[[#This Row],[codigo_producto]],FIND("/",Tabla2[[#This Row],[codigo_producto]])-1)</f>
        <v>5</v>
      </c>
      <c r="M127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79" spans="1:13" x14ac:dyDescent="0.25">
      <c r="A1279" t="s">
        <v>4095</v>
      </c>
      <c r="B1279" t="s">
        <v>2591</v>
      </c>
      <c r="C1279" t="s">
        <v>2591</v>
      </c>
      <c r="D1279">
        <v>32</v>
      </c>
      <c r="E1279">
        <v>3</v>
      </c>
      <c r="F1279">
        <v>9</v>
      </c>
      <c r="G1279">
        <v>12</v>
      </c>
      <c r="H1279" t="s">
        <v>2814</v>
      </c>
      <c r="I127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79" t="s">
        <v>1284</v>
      </c>
      <c r="K1279" t="str">
        <f>RIGHT(Tabla2[[#This Row],[codigo_producto]],LEN(Tabla2[[#This Row],[codigo_producto]])-FIND("/",Tabla2[[#This Row],[codigo_producto]]))</f>
        <v>1608100XPW01A</v>
      </c>
      <c r="L1279" t="str">
        <f>LEFT(Tabla2[[#This Row],[codigo_producto]],FIND("/",Tabla2[[#This Row],[codigo_producto]])-1)</f>
        <v>5</v>
      </c>
      <c r="M127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80" spans="1:13" x14ac:dyDescent="0.25">
      <c r="A1280" t="s">
        <v>4096</v>
      </c>
      <c r="B1280" t="s">
        <v>2592</v>
      </c>
      <c r="C1280" t="s">
        <v>2592</v>
      </c>
      <c r="D1280">
        <v>32</v>
      </c>
      <c r="E1280">
        <v>3</v>
      </c>
      <c r="F1280">
        <v>9</v>
      </c>
      <c r="G1280">
        <v>12</v>
      </c>
      <c r="H1280" t="s">
        <v>2814</v>
      </c>
      <c r="I128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80" t="s">
        <v>1285</v>
      </c>
      <c r="K1280" t="str">
        <f>RIGHT(Tabla2[[#This Row],[codigo_producto]],LEN(Tabla2[[#This Row],[codigo_producto]])-FIND("/",Tabla2[[#This Row],[codigo_producto]]))</f>
        <v>1703110XPW01A</v>
      </c>
      <c r="L1280" t="str">
        <f>LEFT(Tabla2[[#This Row],[codigo_producto]],FIND("/",Tabla2[[#This Row],[codigo_producto]])-1)</f>
        <v>5</v>
      </c>
      <c r="M128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81" spans="1:13" x14ac:dyDescent="0.25">
      <c r="A1281" t="s">
        <v>4097</v>
      </c>
      <c r="B1281" t="s">
        <v>2593</v>
      </c>
      <c r="C1281" t="s">
        <v>2593</v>
      </c>
      <c r="D1281">
        <v>32</v>
      </c>
      <c r="E1281">
        <v>3</v>
      </c>
      <c r="F1281">
        <v>9</v>
      </c>
      <c r="G1281">
        <v>12</v>
      </c>
      <c r="H1281" t="s">
        <v>2814</v>
      </c>
      <c r="I128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81" t="s">
        <v>1286</v>
      </c>
      <c r="K1281" t="str">
        <f>RIGHT(Tabla2[[#This Row],[codigo_producto]],LEN(Tabla2[[#This Row],[codigo_producto]])-FIND("/",Tabla2[[#This Row],[codigo_producto]]))</f>
        <v>2201104XPW01A</v>
      </c>
      <c r="L1281" t="str">
        <f>LEFT(Tabla2[[#This Row],[codigo_producto]],FIND("/",Tabla2[[#This Row],[codigo_producto]])-1)</f>
        <v>5</v>
      </c>
      <c r="M128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82" spans="1:13" x14ac:dyDescent="0.25">
      <c r="A1282" t="s">
        <v>4098</v>
      </c>
      <c r="B1282" t="s">
        <v>2594</v>
      </c>
      <c r="C1282" t="s">
        <v>2594</v>
      </c>
      <c r="D1282">
        <v>32</v>
      </c>
      <c r="E1282">
        <v>3</v>
      </c>
      <c r="F1282">
        <v>9</v>
      </c>
      <c r="G1282">
        <v>12</v>
      </c>
      <c r="H1282" t="s">
        <v>2814</v>
      </c>
      <c r="I128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82" t="s">
        <v>1287</v>
      </c>
      <c r="K1282" t="str">
        <f>RIGHT(Tabla2[[#This Row],[codigo_producto]],LEN(Tabla2[[#This Row],[codigo_producto]])-FIND("/",Tabla2[[#This Row],[codigo_producto]]))</f>
        <v>2201116D01C01</v>
      </c>
      <c r="L1282" t="str">
        <f>LEFT(Tabla2[[#This Row],[codigo_producto]],FIND("/",Tabla2[[#This Row],[codigo_producto]])-1)</f>
        <v>5</v>
      </c>
      <c r="M128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83" spans="1:13" x14ac:dyDescent="0.25">
      <c r="A1283" t="s">
        <v>4099</v>
      </c>
      <c r="B1283" t="s">
        <v>2595</v>
      </c>
      <c r="C1283" t="s">
        <v>2595</v>
      </c>
      <c r="D1283">
        <v>31</v>
      </c>
      <c r="E1283">
        <v>3</v>
      </c>
      <c r="F1283">
        <v>9</v>
      </c>
      <c r="G1283">
        <v>12</v>
      </c>
      <c r="H1283" t="s">
        <v>2818</v>
      </c>
      <c r="I128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283" t="s">
        <v>1288</v>
      </c>
      <c r="K1283" t="str">
        <f>RIGHT(Tabla2[[#This Row],[codigo_producto]],LEN(Tabla2[[#This Row],[codigo_producto]])-FIND("/",Tabla2[[#This Row],[codigo_producto]]))</f>
        <v>2203100XPW01A</v>
      </c>
      <c r="L1283" t="str">
        <f>LEFT(Tabla2[[#This Row],[codigo_producto]],FIND("/",Tabla2[[#This Row],[codigo_producto]])-1)</f>
        <v>5</v>
      </c>
      <c r="M128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84" spans="1:13" x14ac:dyDescent="0.25">
      <c r="A1284" t="s">
        <v>4100</v>
      </c>
      <c r="B1284" t="s">
        <v>2596</v>
      </c>
      <c r="C1284" t="s">
        <v>2596</v>
      </c>
      <c r="D1284">
        <v>31</v>
      </c>
      <c r="E1284">
        <v>3</v>
      </c>
      <c r="F1284">
        <v>9</v>
      </c>
      <c r="G1284">
        <v>12</v>
      </c>
      <c r="H1284" t="s">
        <v>2818</v>
      </c>
      <c r="I128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284" t="s">
        <v>1289</v>
      </c>
      <c r="K1284" t="str">
        <f>RIGHT(Tabla2[[#This Row],[codigo_producto]],LEN(Tabla2[[#This Row],[codigo_producto]])-FIND("/",Tabla2[[#This Row],[codigo_producto]]))</f>
        <v>2302700XKV73A</v>
      </c>
      <c r="L1284" t="str">
        <f>LEFT(Tabla2[[#This Row],[codigo_producto]],FIND("/",Tabla2[[#This Row],[codigo_producto]])-1)</f>
        <v>5</v>
      </c>
      <c r="M128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85" spans="1:13" x14ac:dyDescent="0.25">
      <c r="A1285" t="s">
        <v>4101</v>
      </c>
      <c r="B1285" t="s">
        <v>2597</v>
      </c>
      <c r="C1285" t="s">
        <v>2597</v>
      </c>
      <c r="D1285">
        <v>32</v>
      </c>
      <c r="E1285">
        <v>3</v>
      </c>
      <c r="F1285">
        <v>9</v>
      </c>
      <c r="G1285">
        <v>12</v>
      </c>
      <c r="H1285" t="s">
        <v>2814</v>
      </c>
      <c r="I128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85" t="s">
        <v>1290</v>
      </c>
      <c r="K1285" t="str">
        <f>RIGHT(Tabla2[[#This Row],[codigo_producto]],LEN(Tabla2[[#This Row],[codigo_producto]])-FIND("/",Tabla2[[#This Row],[codigo_producto]]))</f>
        <v>2402180XKZ17A</v>
      </c>
      <c r="L1285" t="str">
        <f>LEFT(Tabla2[[#This Row],[codigo_producto]],FIND("/",Tabla2[[#This Row],[codigo_producto]])-1)</f>
        <v>5</v>
      </c>
      <c r="M128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86" spans="1:13" x14ac:dyDescent="0.25">
      <c r="A1286" t="s">
        <v>4102</v>
      </c>
      <c r="B1286" t="s">
        <v>2598</v>
      </c>
      <c r="C1286" t="s">
        <v>2598</v>
      </c>
      <c r="D1286">
        <v>31</v>
      </c>
      <c r="E1286">
        <v>3</v>
      </c>
      <c r="F1286">
        <v>9</v>
      </c>
      <c r="G1286">
        <v>12</v>
      </c>
      <c r="H1286" t="s">
        <v>2818</v>
      </c>
      <c r="I128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286" t="s">
        <v>1291</v>
      </c>
      <c r="K1286" t="str">
        <f>RIGHT(Tabla2[[#This Row],[codigo_producto]],LEN(Tabla2[[#This Row],[codigo_producto]])-FIND("/",Tabla2[[#This Row],[codigo_producto]]))</f>
        <v>2802101XPW01C</v>
      </c>
      <c r="L1286" t="str">
        <f>LEFT(Tabla2[[#This Row],[codigo_producto]],FIND("/",Tabla2[[#This Row],[codigo_producto]])-1)</f>
        <v>5</v>
      </c>
      <c r="M128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87" spans="1:13" x14ac:dyDescent="0.25">
      <c r="A1287" t="s">
        <v>4103</v>
      </c>
      <c r="B1287" t="s">
        <v>2599</v>
      </c>
      <c r="C1287" t="s">
        <v>2599</v>
      </c>
      <c r="D1287">
        <v>31</v>
      </c>
      <c r="E1287">
        <v>3</v>
      </c>
      <c r="F1287">
        <v>9</v>
      </c>
      <c r="G1287">
        <v>12</v>
      </c>
      <c r="H1287" t="s">
        <v>2818</v>
      </c>
      <c r="I128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287" t="s">
        <v>1292</v>
      </c>
      <c r="K1287" t="str">
        <f>RIGHT(Tabla2[[#This Row],[codigo_producto]],LEN(Tabla2[[#This Row],[codigo_producto]])-FIND("/",Tabla2[[#This Row],[codigo_producto]]))</f>
        <v>2803114XKN01A</v>
      </c>
      <c r="L1287" t="str">
        <f>LEFT(Tabla2[[#This Row],[codigo_producto]],FIND("/",Tabla2[[#This Row],[codigo_producto]])-1)</f>
        <v>5</v>
      </c>
      <c r="M128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88" spans="1:13" x14ac:dyDescent="0.25">
      <c r="A1288" t="s">
        <v>4104</v>
      </c>
      <c r="B1288" t="s">
        <v>2600</v>
      </c>
      <c r="C1288" t="s">
        <v>2600</v>
      </c>
      <c r="D1288">
        <v>31</v>
      </c>
      <c r="E1288">
        <v>3</v>
      </c>
      <c r="F1288">
        <v>9</v>
      </c>
      <c r="G1288">
        <v>12</v>
      </c>
      <c r="H1288" t="s">
        <v>2818</v>
      </c>
      <c r="I128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288" t="s">
        <v>1293</v>
      </c>
      <c r="K1288" t="str">
        <f>RIGHT(Tabla2[[#This Row],[codigo_producto]],LEN(Tabla2[[#This Row],[codigo_producto]])-FIND("/",Tabla2[[#This Row],[codigo_producto]]))</f>
        <v>2803122XKN01A</v>
      </c>
      <c r="L1288" t="str">
        <f>LEFT(Tabla2[[#This Row],[codigo_producto]],FIND("/",Tabla2[[#This Row],[codigo_producto]])-1)</f>
        <v>5</v>
      </c>
      <c r="M128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89" spans="1:13" x14ac:dyDescent="0.25">
      <c r="A1289" t="s">
        <v>4105</v>
      </c>
      <c r="B1289" t="s">
        <v>2601</v>
      </c>
      <c r="C1289" t="s">
        <v>2601</v>
      </c>
      <c r="D1289">
        <v>31</v>
      </c>
      <c r="E1289">
        <v>3</v>
      </c>
      <c r="F1289">
        <v>9</v>
      </c>
      <c r="G1289">
        <v>12</v>
      </c>
      <c r="H1289" t="s">
        <v>2818</v>
      </c>
      <c r="I128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289" t="s">
        <v>1294</v>
      </c>
      <c r="K1289" t="str">
        <f>RIGHT(Tabla2[[#This Row],[codigo_producto]],LEN(Tabla2[[#This Row],[codigo_producto]])-FIND("/",Tabla2[[#This Row],[codigo_producto]]))</f>
        <v>2807100XKN01A</v>
      </c>
      <c r="L1289" t="str">
        <f>LEFT(Tabla2[[#This Row],[codigo_producto]],FIND("/",Tabla2[[#This Row],[codigo_producto]])-1)</f>
        <v>5</v>
      </c>
      <c r="M128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90" spans="1:13" x14ac:dyDescent="0.25">
      <c r="A1290" t="s">
        <v>4106</v>
      </c>
      <c r="B1290" t="s">
        <v>2602</v>
      </c>
      <c r="C1290" t="s">
        <v>2602</v>
      </c>
      <c r="D1290">
        <v>32</v>
      </c>
      <c r="E1290">
        <v>3</v>
      </c>
      <c r="F1290">
        <v>9</v>
      </c>
      <c r="G1290">
        <v>12</v>
      </c>
      <c r="H1290" t="s">
        <v>2814</v>
      </c>
      <c r="I129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90" t="s">
        <v>1295</v>
      </c>
      <c r="K1290" t="str">
        <f>RIGHT(Tabla2[[#This Row],[codigo_producto]],LEN(Tabla2[[#This Row],[codigo_producto]])-FIND("/",Tabla2[[#This Row],[codigo_producto]]))</f>
        <v>2807100XSZ23A</v>
      </c>
      <c r="L1290" t="str">
        <f>LEFT(Tabla2[[#This Row],[codigo_producto]],FIND("/",Tabla2[[#This Row],[codigo_producto]])-1)</f>
        <v>5</v>
      </c>
      <c r="M129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91" spans="1:13" x14ac:dyDescent="0.25">
      <c r="A1291" t="s">
        <v>4107</v>
      </c>
      <c r="B1291" t="s">
        <v>1824</v>
      </c>
      <c r="C1291" t="s">
        <v>1824</v>
      </c>
      <c r="D1291">
        <v>32</v>
      </c>
      <c r="E1291">
        <v>3</v>
      </c>
      <c r="F1291">
        <v>9</v>
      </c>
      <c r="G1291">
        <v>12</v>
      </c>
      <c r="H1291" t="s">
        <v>2814</v>
      </c>
      <c r="I129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91" t="s">
        <v>1296</v>
      </c>
      <c r="K1291" t="str">
        <f>RIGHT(Tabla2[[#This Row],[codigo_producto]],LEN(Tabla2[[#This Row],[codigo_producto]])-FIND("/",Tabla2[[#This Row],[codigo_producto]]))</f>
        <v>2904101XPW01A</v>
      </c>
      <c r="L1291" t="str">
        <f>LEFT(Tabla2[[#This Row],[codigo_producto]],FIND("/",Tabla2[[#This Row],[codigo_producto]])-1)</f>
        <v>5</v>
      </c>
      <c r="M129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92" spans="1:13" x14ac:dyDescent="0.25">
      <c r="A1292" t="s">
        <v>4108</v>
      </c>
      <c r="B1292" t="s">
        <v>1825</v>
      </c>
      <c r="C1292" t="s">
        <v>1825</v>
      </c>
      <c r="D1292">
        <v>31</v>
      </c>
      <c r="E1292">
        <v>3</v>
      </c>
      <c r="F1292">
        <v>9</v>
      </c>
      <c r="G1292">
        <v>12</v>
      </c>
      <c r="H1292" t="s">
        <v>2818</v>
      </c>
      <c r="I129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292" t="s">
        <v>1297</v>
      </c>
      <c r="K1292" t="str">
        <f>RIGHT(Tabla2[[#This Row],[codigo_producto]],LEN(Tabla2[[#This Row],[codigo_producto]])-FIND("/",Tabla2[[#This Row],[codigo_producto]]))</f>
        <v>2904102XPW01A</v>
      </c>
      <c r="L1292" t="str">
        <f>LEFT(Tabla2[[#This Row],[codigo_producto]],FIND("/",Tabla2[[#This Row],[codigo_producto]])-1)</f>
        <v>5</v>
      </c>
      <c r="M129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93" spans="1:13" x14ac:dyDescent="0.25">
      <c r="A1293" t="s">
        <v>4109</v>
      </c>
      <c r="B1293" t="s">
        <v>1824</v>
      </c>
      <c r="C1293" t="s">
        <v>1824</v>
      </c>
      <c r="D1293">
        <v>32</v>
      </c>
      <c r="E1293">
        <v>3</v>
      </c>
      <c r="F1293">
        <v>9</v>
      </c>
      <c r="G1293">
        <v>12</v>
      </c>
      <c r="H1293" t="s">
        <v>2814</v>
      </c>
      <c r="I129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93" t="s">
        <v>1298</v>
      </c>
      <c r="K1293" t="str">
        <f>RIGHT(Tabla2[[#This Row],[codigo_producto]],LEN(Tabla2[[#This Row],[codigo_producto]])-FIND("/",Tabla2[[#This Row],[codigo_producto]]))</f>
        <v>2904103XPW01A</v>
      </c>
      <c r="L1293" t="str">
        <f>LEFT(Tabla2[[#This Row],[codigo_producto]],FIND("/",Tabla2[[#This Row],[codigo_producto]])-1)</f>
        <v>5</v>
      </c>
      <c r="M129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94" spans="1:13" x14ac:dyDescent="0.25">
      <c r="A1294" t="s">
        <v>4110</v>
      </c>
      <c r="B1294" t="s">
        <v>1825</v>
      </c>
      <c r="C1294" t="s">
        <v>1825</v>
      </c>
      <c r="D1294">
        <v>32</v>
      </c>
      <c r="E1294">
        <v>3</v>
      </c>
      <c r="F1294">
        <v>9</v>
      </c>
      <c r="G1294">
        <v>12</v>
      </c>
      <c r="H1294" t="s">
        <v>2814</v>
      </c>
      <c r="I129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94" t="s">
        <v>1299</v>
      </c>
      <c r="K1294" t="str">
        <f>RIGHT(Tabla2[[#This Row],[codigo_producto]],LEN(Tabla2[[#This Row],[codigo_producto]])-FIND("/",Tabla2[[#This Row],[codigo_producto]]))</f>
        <v>2904104XPW01A</v>
      </c>
      <c r="L1294" t="str">
        <f>LEFT(Tabla2[[#This Row],[codigo_producto]],FIND("/",Tabla2[[#This Row],[codigo_producto]])-1)</f>
        <v>5</v>
      </c>
      <c r="M129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95" spans="1:13" x14ac:dyDescent="0.25">
      <c r="A1295" t="s">
        <v>4111</v>
      </c>
      <c r="B1295" t="s">
        <v>1826</v>
      </c>
      <c r="C1295" t="s">
        <v>1826</v>
      </c>
      <c r="D1295">
        <v>32</v>
      </c>
      <c r="E1295">
        <v>3</v>
      </c>
      <c r="F1295">
        <v>9</v>
      </c>
      <c r="G1295">
        <v>12</v>
      </c>
      <c r="H1295" t="s">
        <v>2814</v>
      </c>
      <c r="I129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95" t="s">
        <v>1300</v>
      </c>
      <c r="K1295" t="str">
        <f>RIGHT(Tabla2[[#This Row],[codigo_producto]],LEN(Tabla2[[#This Row],[codigo_producto]])-FIND("/",Tabla2[[#This Row],[codigo_producto]]))</f>
        <v>2905102XPW01A</v>
      </c>
      <c r="L1295" t="str">
        <f>LEFT(Tabla2[[#This Row],[codigo_producto]],FIND("/",Tabla2[[#This Row],[codigo_producto]])-1)</f>
        <v>5</v>
      </c>
      <c r="M129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96" spans="1:13" x14ac:dyDescent="0.25">
      <c r="A1296" t="s">
        <v>4112</v>
      </c>
      <c r="B1296" t="s">
        <v>1836</v>
      </c>
      <c r="C1296" t="s">
        <v>1836</v>
      </c>
      <c r="D1296">
        <v>31</v>
      </c>
      <c r="E1296">
        <v>3</v>
      </c>
      <c r="F1296">
        <v>9</v>
      </c>
      <c r="G1296">
        <v>12</v>
      </c>
      <c r="H1296" t="s">
        <v>2818</v>
      </c>
      <c r="I129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296" t="s">
        <v>1301</v>
      </c>
      <c r="K1296" t="str">
        <f>RIGHT(Tabla2[[#This Row],[codigo_producto]],LEN(Tabla2[[#This Row],[codigo_producto]])-FIND("/",Tabla2[[#This Row],[codigo_producto]]))</f>
        <v>2905124XPW01A</v>
      </c>
      <c r="L1296" t="str">
        <f>LEFT(Tabla2[[#This Row],[codigo_producto]],FIND("/",Tabla2[[#This Row],[codigo_producto]])-1)</f>
        <v>5</v>
      </c>
      <c r="M129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97" spans="1:13" x14ac:dyDescent="0.25">
      <c r="A1297" t="s">
        <v>4113</v>
      </c>
      <c r="B1297" t="s">
        <v>1835</v>
      </c>
      <c r="C1297" t="s">
        <v>1835</v>
      </c>
      <c r="D1297">
        <v>31</v>
      </c>
      <c r="E1297">
        <v>3</v>
      </c>
      <c r="F1297">
        <v>9</v>
      </c>
      <c r="G1297">
        <v>12</v>
      </c>
      <c r="H1297" t="s">
        <v>2818</v>
      </c>
      <c r="I129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297" t="s">
        <v>1302</v>
      </c>
      <c r="K1297" t="str">
        <f>RIGHT(Tabla2[[#This Row],[codigo_producto]],LEN(Tabla2[[#This Row],[codigo_producto]])-FIND("/",Tabla2[[#This Row],[codigo_producto]]))</f>
        <v>2905125XPW01A</v>
      </c>
      <c r="L1297" t="str">
        <f>LEFT(Tabla2[[#This Row],[codigo_producto]],FIND("/",Tabla2[[#This Row],[codigo_producto]])-1)</f>
        <v>5</v>
      </c>
      <c r="M129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98" spans="1:13" x14ac:dyDescent="0.25">
      <c r="A1298" t="s">
        <v>4114</v>
      </c>
      <c r="B1298" t="s">
        <v>2269</v>
      </c>
      <c r="C1298" t="s">
        <v>2269</v>
      </c>
      <c r="D1298">
        <v>32</v>
      </c>
      <c r="E1298">
        <v>3</v>
      </c>
      <c r="F1298">
        <v>9</v>
      </c>
      <c r="G1298">
        <v>12</v>
      </c>
      <c r="H1298" t="s">
        <v>2814</v>
      </c>
      <c r="I129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98" t="s">
        <v>1303</v>
      </c>
      <c r="K1298" t="str">
        <f>RIGHT(Tabla2[[#This Row],[codigo_producto]],LEN(Tabla2[[#This Row],[codigo_producto]])-FIND("/",Tabla2[[#This Row],[codigo_producto]]))</f>
        <v>2906012AK00XA</v>
      </c>
      <c r="L1298" t="str">
        <f>LEFT(Tabla2[[#This Row],[codigo_producto]],FIND("/",Tabla2[[#This Row],[codigo_producto]])-1)</f>
        <v>5</v>
      </c>
      <c r="M129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99" spans="1:13" x14ac:dyDescent="0.25">
      <c r="A1299" t="s">
        <v>4115</v>
      </c>
      <c r="B1299" t="s">
        <v>2603</v>
      </c>
      <c r="C1299" t="s">
        <v>2603</v>
      </c>
      <c r="D1299">
        <v>31</v>
      </c>
      <c r="E1299">
        <v>3</v>
      </c>
      <c r="F1299">
        <v>9</v>
      </c>
      <c r="G1299">
        <v>12</v>
      </c>
      <c r="H1299" t="s">
        <v>2818</v>
      </c>
      <c r="I129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299" t="s">
        <v>1304</v>
      </c>
      <c r="K1299" t="str">
        <f>RIGHT(Tabla2[[#This Row],[codigo_producto]],LEN(Tabla2[[#This Row],[codigo_producto]])-FIND("/",Tabla2[[#This Row],[codigo_producto]]))</f>
        <v>2906101XPW01A</v>
      </c>
      <c r="L1299" t="str">
        <f>LEFT(Tabla2[[#This Row],[codigo_producto]],FIND("/",Tabla2[[#This Row],[codigo_producto]])-1)</f>
        <v>5</v>
      </c>
      <c r="M129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00" spans="1:13" x14ac:dyDescent="0.25">
      <c r="A1300" t="s">
        <v>4116</v>
      </c>
      <c r="B1300" t="s">
        <v>2604</v>
      </c>
      <c r="C1300" t="s">
        <v>2604</v>
      </c>
      <c r="D1300">
        <v>32</v>
      </c>
      <c r="E1300">
        <v>3</v>
      </c>
      <c r="F1300">
        <v>9</v>
      </c>
      <c r="G1300">
        <v>12</v>
      </c>
      <c r="H1300" t="s">
        <v>2814</v>
      </c>
      <c r="I130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00" t="s">
        <v>1305</v>
      </c>
      <c r="K1300" t="str">
        <f>RIGHT(Tabla2[[#This Row],[codigo_producto]],LEN(Tabla2[[#This Row],[codigo_producto]])-FIND("/",Tabla2[[#This Row],[codigo_producto]]))</f>
        <v>2906112XKZ16B</v>
      </c>
      <c r="L1300" t="str">
        <f>LEFT(Tabla2[[#This Row],[codigo_producto]],FIND("/",Tabla2[[#This Row],[codigo_producto]])-1)</f>
        <v>5</v>
      </c>
      <c r="M130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01" spans="1:13" x14ac:dyDescent="0.25">
      <c r="A1301" t="s">
        <v>4117</v>
      </c>
      <c r="B1301" t="s">
        <v>2428</v>
      </c>
      <c r="C1301" t="s">
        <v>2428</v>
      </c>
      <c r="D1301">
        <v>32</v>
      </c>
      <c r="E1301">
        <v>3</v>
      </c>
      <c r="F1301">
        <v>9</v>
      </c>
      <c r="G1301">
        <v>12</v>
      </c>
      <c r="H1301" t="s">
        <v>2814</v>
      </c>
      <c r="I130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01" t="s">
        <v>1306</v>
      </c>
      <c r="K1301" t="str">
        <f>RIGHT(Tabla2[[#This Row],[codigo_producto]],LEN(Tabla2[[#This Row],[codigo_producto]])-FIND("/",Tabla2[[#This Row],[codigo_producto]]))</f>
        <v>2906300AK00B1</v>
      </c>
      <c r="L1301" t="str">
        <f>LEFT(Tabla2[[#This Row],[codigo_producto]],FIND("/",Tabla2[[#This Row],[codigo_producto]])-1)</f>
        <v>5</v>
      </c>
      <c r="M130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02" spans="1:13" x14ac:dyDescent="0.25">
      <c r="A1302" t="s">
        <v>4118</v>
      </c>
      <c r="B1302" t="s">
        <v>1823</v>
      </c>
      <c r="C1302" t="s">
        <v>1823</v>
      </c>
      <c r="D1302">
        <v>32</v>
      </c>
      <c r="E1302">
        <v>3</v>
      </c>
      <c r="F1302">
        <v>9</v>
      </c>
      <c r="G1302">
        <v>12</v>
      </c>
      <c r="H1302" t="s">
        <v>2814</v>
      </c>
      <c r="I130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02" t="s">
        <v>1307</v>
      </c>
      <c r="K1302" t="str">
        <f>RIGHT(Tabla2[[#This Row],[codigo_producto]],LEN(Tabla2[[#This Row],[codigo_producto]])-FIND("/",Tabla2[[#This Row],[codigo_producto]]))</f>
        <v>2915101XPW01A</v>
      </c>
      <c r="L1302" t="str">
        <f>LEFT(Tabla2[[#This Row],[codigo_producto]],FIND("/",Tabla2[[#This Row],[codigo_producto]])-1)</f>
        <v>5</v>
      </c>
      <c r="M130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03" spans="1:13" x14ac:dyDescent="0.25">
      <c r="A1303" t="s">
        <v>4119</v>
      </c>
      <c r="B1303" t="s">
        <v>1823</v>
      </c>
      <c r="C1303" t="s">
        <v>1823</v>
      </c>
      <c r="D1303">
        <v>31</v>
      </c>
      <c r="E1303">
        <v>3</v>
      </c>
      <c r="F1303">
        <v>9</v>
      </c>
      <c r="G1303">
        <v>12</v>
      </c>
      <c r="H1303" t="s">
        <v>2818</v>
      </c>
      <c r="I130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303" t="s">
        <v>1308</v>
      </c>
      <c r="K1303" t="str">
        <f>RIGHT(Tabla2[[#This Row],[codigo_producto]],LEN(Tabla2[[#This Row],[codigo_producto]])-FIND("/",Tabla2[[#This Row],[codigo_producto]]))</f>
        <v>2915110XSZ08A</v>
      </c>
      <c r="L1303" t="str">
        <f>LEFT(Tabla2[[#This Row],[codigo_producto]],FIND("/",Tabla2[[#This Row],[codigo_producto]])-1)</f>
        <v>5</v>
      </c>
      <c r="M130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04" spans="1:13" x14ac:dyDescent="0.25">
      <c r="A1304" t="s">
        <v>4120</v>
      </c>
      <c r="B1304" t="s">
        <v>2269</v>
      </c>
      <c r="C1304" t="s">
        <v>2269</v>
      </c>
      <c r="D1304">
        <v>32</v>
      </c>
      <c r="E1304">
        <v>3</v>
      </c>
      <c r="F1304">
        <v>9</v>
      </c>
      <c r="G1304">
        <v>12</v>
      </c>
      <c r="H1304" t="s">
        <v>2814</v>
      </c>
      <c r="I130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04" t="s">
        <v>1309</v>
      </c>
      <c r="K1304" t="str">
        <f>RIGHT(Tabla2[[#This Row],[codigo_producto]],LEN(Tabla2[[#This Row],[codigo_producto]])-FIND("/",Tabla2[[#This Row],[codigo_producto]]))</f>
        <v>2916012AK00XA</v>
      </c>
      <c r="L1304" t="str">
        <f>LEFT(Tabla2[[#This Row],[codigo_producto]],FIND("/",Tabla2[[#This Row],[codigo_producto]])-1)</f>
        <v>5</v>
      </c>
      <c r="M130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05" spans="1:13" x14ac:dyDescent="0.25">
      <c r="A1305" t="s">
        <v>4121</v>
      </c>
      <c r="B1305" t="s">
        <v>2605</v>
      </c>
      <c r="C1305" t="s">
        <v>2605</v>
      </c>
      <c r="D1305">
        <v>32</v>
      </c>
      <c r="E1305">
        <v>3</v>
      </c>
      <c r="F1305">
        <v>9</v>
      </c>
      <c r="G1305">
        <v>12</v>
      </c>
      <c r="H1305" t="s">
        <v>2814</v>
      </c>
      <c r="I130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05" t="s">
        <v>1310</v>
      </c>
      <c r="K1305" t="str">
        <f>RIGHT(Tabla2[[#This Row],[codigo_producto]],LEN(Tabla2[[#This Row],[codigo_producto]])-FIND("/",Tabla2[[#This Row],[codigo_producto]]))</f>
        <v>2916100AK00B1</v>
      </c>
      <c r="L1305" t="str">
        <f>LEFT(Tabla2[[#This Row],[codigo_producto]],FIND("/",Tabla2[[#This Row],[codigo_producto]])-1)</f>
        <v>5</v>
      </c>
      <c r="M130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06" spans="1:13" x14ac:dyDescent="0.25">
      <c r="A1306" t="s">
        <v>4122</v>
      </c>
      <c r="B1306" t="s">
        <v>1845</v>
      </c>
      <c r="C1306" t="s">
        <v>1845</v>
      </c>
      <c r="D1306">
        <v>32</v>
      </c>
      <c r="E1306">
        <v>3</v>
      </c>
      <c r="F1306">
        <v>9</v>
      </c>
      <c r="G1306">
        <v>12</v>
      </c>
      <c r="H1306" t="s">
        <v>2814</v>
      </c>
      <c r="I130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06" t="s">
        <v>1311</v>
      </c>
      <c r="K1306" t="str">
        <f>RIGHT(Tabla2[[#This Row],[codigo_producto]],LEN(Tabla2[[#This Row],[codigo_producto]])-FIND("/",Tabla2[[#This Row],[codigo_producto]]))</f>
        <v>3103101XP55AC</v>
      </c>
      <c r="L1306" t="str">
        <f>LEFT(Tabla2[[#This Row],[codigo_producto]],FIND("/",Tabla2[[#This Row],[codigo_producto]])-1)</f>
        <v>5</v>
      </c>
      <c r="M130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07" spans="1:13" x14ac:dyDescent="0.25">
      <c r="A1307" t="s">
        <v>4123</v>
      </c>
      <c r="B1307" t="s">
        <v>2606</v>
      </c>
      <c r="C1307" t="s">
        <v>2606</v>
      </c>
      <c r="D1307">
        <v>32</v>
      </c>
      <c r="E1307">
        <v>3</v>
      </c>
      <c r="F1307">
        <v>9</v>
      </c>
      <c r="G1307">
        <v>12</v>
      </c>
      <c r="H1307" t="s">
        <v>2814</v>
      </c>
      <c r="I130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07" t="s">
        <v>1312</v>
      </c>
      <c r="K1307" t="str">
        <f>RIGHT(Tabla2[[#This Row],[codigo_producto]],LEN(Tabla2[[#This Row],[codigo_producto]])-FIND("/",Tabla2[[#This Row],[codigo_producto]]))</f>
        <v>3401101XPW01A</v>
      </c>
      <c r="L1307" t="str">
        <f>LEFT(Tabla2[[#This Row],[codigo_producto]],FIND("/",Tabla2[[#This Row],[codigo_producto]])-1)</f>
        <v>5</v>
      </c>
      <c r="M130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08" spans="1:13" x14ac:dyDescent="0.25">
      <c r="A1308" t="s">
        <v>4124</v>
      </c>
      <c r="B1308" t="s">
        <v>2093</v>
      </c>
      <c r="C1308" t="s">
        <v>2093</v>
      </c>
      <c r="D1308">
        <v>32</v>
      </c>
      <c r="E1308">
        <v>3</v>
      </c>
      <c r="F1308">
        <v>9</v>
      </c>
      <c r="G1308">
        <v>12</v>
      </c>
      <c r="H1308" t="s">
        <v>2814</v>
      </c>
      <c r="I130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08" t="s">
        <v>1313</v>
      </c>
      <c r="K1308" t="str">
        <f>RIGHT(Tabla2[[#This Row],[codigo_producto]],LEN(Tabla2[[#This Row],[codigo_producto]])-FIND("/",Tabla2[[#This Row],[codigo_producto]]))</f>
        <v>3407011A63DXA</v>
      </c>
      <c r="L1308" t="str">
        <f>LEFT(Tabla2[[#This Row],[codigo_producto]],FIND("/",Tabla2[[#This Row],[codigo_producto]])-1)</f>
        <v>5</v>
      </c>
      <c r="M130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09" spans="1:13" x14ac:dyDescent="0.25">
      <c r="A1309" t="s">
        <v>4125</v>
      </c>
      <c r="B1309" t="s">
        <v>1815</v>
      </c>
      <c r="C1309" t="s">
        <v>1815</v>
      </c>
      <c r="D1309">
        <v>31</v>
      </c>
      <c r="E1309">
        <v>3</v>
      </c>
      <c r="F1309">
        <v>9</v>
      </c>
      <c r="G1309">
        <v>12</v>
      </c>
      <c r="H1309" t="s">
        <v>2818</v>
      </c>
      <c r="I130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309" t="s">
        <v>1314</v>
      </c>
      <c r="K1309" t="str">
        <f>RIGHT(Tabla2[[#This Row],[codigo_producto]],LEN(Tabla2[[#This Row],[codigo_producto]])-FIND("/",Tabla2[[#This Row],[codigo_producto]]))</f>
        <v>3501100XPW01A</v>
      </c>
      <c r="L1309" t="str">
        <f>LEFT(Tabla2[[#This Row],[codigo_producto]],FIND("/",Tabla2[[#This Row],[codigo_producto]])-1)</f>
        <v>5</v>
      </c>
      <c r="M130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10" spans="1:13" x14ac:dyDescent="0.25">
      <c r="A1310" t="s">
        <v>4126</v>
      </c>
      <c r="B1310" t="s">
        <v>1817</v>
      </c>
      <c r="C1310" t="s">
        <v>1817</v>
      </c>
      <c r="D1310">
        <v>31</v>
      </c>
      <c r="E1310">
        <v>3</v>
      </c>
      <c r="F1310">
        <v>9</v>
      </c>
      <c r="G1310">
        <v>12</v>
      </c>
      <c r="H1310" t="s">
        <v>2818</v>
      </c>
      <c r="I131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310" t="s">
        <v>1315</v>
      </c>
      <c r="K1310" t="str">
        <f>RIGHT(Tabla2[[#This Row],[codigo_producto]],LEN(Tabla2[[#This Row],[codigo_producto]])-FIND("/",Tabla2[[#This Row],[codigo_producto]]))</f>
        <v>3501101XPW01A</v>
      </c>
      <c r="L1310" t="str">
        <f>LEFT(Tabla2[[#This Row],[codigo_producto]],FIND("/",Tabla2[[#This Row],[codigo_producto]])-1)</f>
        <v>5</v>
      </c>
      <c r="M131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11" spans="1:13" x14ac:dyDescent="0.25">
      <c r="A1311" t="s">
        <v>4127</v>
      </c>
      <c r="B1311" t="s">
        <v>1721</v>
      </c>
      <c r="C1311" t="s">
        <v>1721</v>
      </c>
      <c r="D1311">
        <v>32</v>
      </c>
      <c r="E1311">
        <v>3</v>
      </c>
      <c r="F1311">
        <v>9</v>
      </c>
      <c r="G1311">
        <v>12</v>
      </c>
      <c r="H1311" t="s">
        <v>2814</v>
      </c>
      <c r="I131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11" t="s">
        <v>1316</v>
      </c>
      <c r="K1311" t="str">
        <f>RIGHT(Tabla2[[#This Row],[codigo_producto]],LEN(Tabla2[[#This Row],[codigo_producto]])-FIND("/",Tabla2[[#This Row],[codigo_producto]]))</f>
        <v>3501104XPW01A</v>
      </c>
      <c r="L1311" t="str">
        <f>LEFT(Tabla2[[#This Row],[codigo_producto]],FIND("/",Tabla2[[#This Row],[codigo_producto]])-1)</f>
        <v>5</v>
      </c>
      <c r="M131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12" spans="1:13" x14ac:dyDescent="0.25">
      <c r="A1312" t="s">
        <v>4128</v>
      </c>
      <c r="B1312" t="s">
        <v>1831</v>
      </c>
      <c r="C1312" t="s">
        <v>1831</v>
      </c>
      <c r="D1312">
        <v>32</v>
      </c>
      <c r="E1312">
        <v>3</v>
      </c>
      <c r="F1312">
        <v>9</v>
      </c>
      <c r="G1312">
        <v>12</v>
      </c>
      <c r="H1312" t="s">
        <v>2814</v>
      </c>
      <c r="I131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12" t="s">
        <v>1317</v>
      </c>
      <c r="K1312" t="str">
        <f>RIGHT(Tabla2[[#This Row],[codigo_producto]],LEN(Tabla2[[#This Row],[codigo_producto]])-FIND("/",Tabla2[[#This Row],[codigo_producto]]))</f>
        <v>3501115AKZ16B</v>
      </c>
      <c r="L1312" t="str">
        <f>LEFT(Tabla2[[#This Row],[codigo_producto]],FIND("/",Tabla2[[#This Row],[codigo_producto]])-1)</f>
        <v>5</v>
      </c>
      <c r="M131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13" spans="1:13" x14ac:dyDescent="0.25">
      <c r="A1313" t="s">
        <v>4129</v>
      </c>
      <c r="B1313" t="s">
        <v>1831</v>
      </c>
      <c r="C1313" t="s">
        <v>1831</v>
      </c>
      <c r="D1313">
        <v>32</v>
      </c>
      <c r="E1313">
        <v>3</v>
      </c>
      <c r="F1313">
        <v>9</v>
      </c>
      <c r="G1313">
        <v>12</v>
      </c>
      <c r="H1313" t="s">
        <v>2814</v>
      </c>
      <c r="I131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13" t="s">
        <v>1318</v>
      </c>
      <c r="K1313" t="str">
        <f>RIGHT(Tabla2[[#This Row],[codigo_producto]],LEN(Tabla2[[#This Row],[codigo_producto]])-FIND("/",Tabla2[[#This Row],[codigo_producto]]))</f>
        <v>3501119XKM01A</v>
      </c>
      <c r="L1313" t="str">
        <f>LEFT(Tabla2[[#This Row],[codigo_producto]],FIND("/",Tabla2[[#This Row],[codigo_producto]])-1)</f>
        <v>5</v>
      </c>
      <c r="M131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14" spans="1:13" x14ac:dyDescent="0.25">
      <c r="A1314" t="s">
        <v>4130</v>
      </c>
      <c r="B1314" t="s">
        <v>1831</v>
      </c>
      <c r="C1314" t="s">
        <v>1831</v>
      </c>
      <c r="D1314">
        <v>32</v>
      </c>
      <c r="E1314">
        <v>3</v>
      </c>
      <c r="F1314">
        <v>9</v>
      </c>
      <c r="G1314">
        <v>12</v>
      </c>
      <c r="H1314" t="s">
        <v>2814</v>
      </c>
      <c r="I131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14" t="s">
        <v>1319</v>
      </c>
      <c r="K1314" t="str">
        <f>RIGHT(Tabla2[[#This Row],[codigo_producto]],LEN(Tabla2[[#This Row],[codigo_producto]])-FIND("/",Tabla2[[#This Row],[codigo_producto]]))</f>
        <v>3501119XPW01A</v>
      </c>
      <c r="L1314" t="str">
        <f>LEFT(Tabla2[[#This Row],[codigo_producto]],FIND("/",Tabla2[[#This Row],[codigo_producto]])-1)</f>
        <v>5</v>
      </c>
      <c r="M131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15" spans="1:13" x14ac:dyDescent="0.25">
      <c r="A1315" t="s">
        <v>4131</v>
      </c>
      <c r="B1315" t="s">
        <v>1953</v>
      </c>
      <c r="C1315" t="s">
        <v>1953</v>
      </c>
      <c r="D1315">
        <v>32</v>
      </c>
      <c r="E1315">
        <v>3</v>
      </c>
      <c r="F1315">
        <v>9</v>
      </c>
      <c r="G1315">
        <v>12</v>
      </c>
      <c r="H1315" t="s">
        <v>2814</v>
      </c>
      <c r="I131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15" t="s">
        <v>1320</v>
      </c>
      <c r="K1315" t="str">
        <f>RIGHT(Tabla2[[#This Row],[codigo_producto]],LEN(Tabla2[[#This Row],[codigo_producto]])-FIND("/",Tabla2[[#This Row],[codigo_producto]]))</f>
        <v>3501150XK00XB</v>
      </c>
      <c r="L1315" t="str">
        <f>LEFT(Tabla2[[#This Row],[codigo_producto]],FIND("/",Tabla2[[#This Row],[codigo_producto]])-1)</f>
        <v>5</v>
      </c>
      <c r="M131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16" spans="1:13" x14ac:dyDescent="0.25">
      <c r="A1316" t="s">
        <v>4132</v>
      </c>
      <c r="B1316" t="s">
        <v>1831</v>
      </c>
      <c r="C1316" t="s">
        <v>1831</v>
      </c>
      <c r="D1316">
        <v>31</v>
      </c>
      <c r="E1316">
        <v>3</v>
      </c>
      <c r="F1316">
        <v>9</v>
      </c>
      <c r="G1316">
        <v>12</v>
      </c>
      <c r="H1316" t="s">
        <v>2818</v>
      </c>
      <c r="I131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316" t="s">
        <v>1321</v>
      </c>
      <c r="K1316" t="str">
        <f>RIGHT(Tabla2[[#This Row],[codigo_producto]],LEN(Tabla2[[#This Row],[codigo_producto]])-FIND("/",Tabla2[[#This Row],[codigo_producto]]))</f>
        <v>3501171XGW01A</v>
      </c>
      <c r="L1316" t="str">
        <f>LEFT(Tabla2[[#This Row],[codigo_producto]],FIND("/",Tabla2[[#This Row],[codigo_producto]])-1)</f>
        <v>5</v>
      </c>
      <c r="M131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17" spans="1:13" x14ac:dyDescent="0.25">
      <c r="A1317" t="s">
        <v>4133</v>
      </c>
      <c r="B1317" t="s">
        <v>2607</v>
      </c>
      <c r="C1317" t="s">
        <v>2607</v>
      </c>
      <c r="D1317">
        <v>32</v>
      </c>
      <c r="E1317">
        <v>3</v>
      </c>
      <c r="F1317">
        <v>9</v>
      </c>
      <c r="G1317">
        <v>12</v>
      </c>
      <c r="H1317" t="s">
        <v>2814</v>
      </c>
      <c r="I131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17" t="s">
        <v>1322</v>
      </c>
      <c r="K1317" t="str">
        <f>RIGHT(Tabla2[[#This Row],[codigo_producto]],LEN(Tabla2[[#This Row],[codigo_producto]])-FIND("/",Tabla2[[#This Row],[codigo_producto]]))</f>
        <v>3501201XP55AB</v>
      </c>
      <c r="L1317" t="str">
        <f>LEFT(Tabla2[[#This Row],[codigo_producto]],FIND("/",Tabla2[[#This Row],[codigo_producto]])-1)</f>
        <v>5</v>
      </c>
      <c r="M131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18" spans="1:13" x14ac:dyDescent="0.25">
      <c r="A1318" t="s">
        <v>4134</v>
      </c>
      <c r="B1318" t="s">
        <v>1831</v>
      </c>
      <c r="C1318" t="s">
        <v>1831</v>
      </c>
      <c r="D1318">
        <v>31</v>
      </c>
      <c r="E1318">
        <v>3</v>
      </c>
      <c r="F1318">
        <v>9</v>
      </c>
      <c r="G1318">
        <v>12</v>
      </c>
      <c r="H1318" t="s">
        <v>2818</v>
      </c>
      <c r="I131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318" t="s">
        <v>1323</v>
      </c>
      <c r="K1318" t="str">
        <f>RIGHT(Tabla2[[#This Row],[codigo_producto]],LEN(Tabla2[[#This Row],[codigo_producto]])-FIND("/",Tabla2[[#This Row],[codigo_producto]]))</f>
        <v>3501306XGW01A</v>
      </c>
      <c r="L1318" t="str">
        <f>LEFT(Tabla2[[#This Row],[codigo_producto]],FIND("/",Tabla2[[#This Row],[codigo_producto]])-1)</f>
        <v>5</v>
      </c>
      <c r="M131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19" spans="1:13" x14ac:dyDescent="0.25">
      <c r="A1319" t="s">
        <v>4135</v>
      </c>
      <c r="B1319" t="s">
        <v>2608</v>
      </c>
      <c r="C1319" t="s">
        <v>2608</v>
      </c>
      <c r="D1319">
        <v>32</v>
      </c>
      <c r="E1319">
        <v>3</v>
      </c>
      <c r="F1319">
        <v>9</v>
      </c>
      <c r="G1319">
        <v>12</v>
      </c>
      <c r="H1319" t="s">
        <v>2814</v>
      </c>
      <c r="I131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19" t="s">
        <v>1324</v>
      </c>
      <c r="K1319" t="str">
        <f>RIGHT(Tabla2[[#This Row],[codigo_producto]],LEN(Tabla2[[#This Row],[codigo_producto]])-FIND("/",Tabla2[[#This Row],[codigo_producto]]))</f>
        <v>3502011XP55AA</v>
      </c>
      <c r="L1319" t="str">
        <f>LEFT(Tabla2[[#This Row],[codigo_producto]],FIND("/",Tabla2[[#This Row],[codigo_producto]])-1)</f>
        <v>5</v>
      </c>
      <c r="M131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20" spans="1:13" x14ac:dyDescent="0.25">
      <c r="A1320" t="s">
        <v>4136</v>
      </c>
      <c r="B1320" t="s">
        <v>2609</v>
      </c>
      <c r="C1320" t="s">
        <v>2609</v>
      </c>
      <c r="D1320">
        <v>31</v>
      </c>
      <c r="E1320">
        <v>3</v>
      </c>
      <c r="F1320">
        <v>9</v>
      </c>
      <c r="G1320">
        <v>12</v>
      </c>
      <c r="H1320" t="s">
        <v>2818</v>
      </c>
      <c r="I132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320" t="s">
        <v>1325</v>
      </c>
      <c r="K1320" t="str">
        <f>RIGHT(Tabla2[[#This Row],[codigo_producto]],LEN(Tabla2[[#This Row],[codigo_producto]])-FIND("/",Tabla2[[#This Row],[codigo_producto]]))</f>
        <v>3502100XPW01A</v>
      </c>
      <c r="L1320" t="str">
        <f>LEFT(Tabla2[[#This Row],[codigo_producto]],FIND("/",Tabla2[[#This Row],[codigo_producto]])-1)</f>
        <v>5</v>
      </c>
      <c r="M132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21" spans="1:13" x14ac:dyDescent="0.25">
      <c r="A1321" t="s">
        <v>4137</v>
      </c>
      <c r="B1321" t="s">
        <v>2610</v>
      </c>
      <c r="C1321" t="s">
        <v>2610</v>
      </c>
      <c r="D1321">
        <v>31</v>
      </c>
      <c r="E1321">
        <v>3</v>
      </c>
      <c r="F1321">
        <v>9</v>
      </c>
      <c r="G1321">
        <v>12</v>
      </c>
      <c r="H1321" t="s">
        <v>2818</v>
      </c>
      <c r="I132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321" t="s">
        <v>1326</v>
      </c>
      <c r="K1321" t="str">
        <f>RIGHT(Tabla2[[#This Row],[codigo_producto]],LEN(Tabla2[[#This Row],[codigo_producto]])-FIND("/",Tabla2[[#This Row],[codigo_producto]]))</f>
        <v>3502101XPW01A</v>
      </c>
      <c r="L1321" t="str">
        <f>LEFT(Tabla2[[#This Row],[codigo_producto]],FIND("/",Tabla2[[#This Row],[codigo_producto]])-1)</f>
        <v>5</v>
      </c>
      <c r="M132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22" spans="1:13" x14ac:dyDescent="0.25">
      <c r="A1322" t="s">
        <v>4138</v>
      </c>
      <c r="B1322" t="s">
        <v>1970</v>
      </c>
      <c r="C1322" t="s">
        <v>1970</v>
      </c>
      <c r="D1322">
        <v>32</v>
      </c>
      <c r="E1322">
        <v>3</v>
      </c>
      <c r="F1322">
        <v>9</v>
      </c>
      <c r="G1322">
        <v>12</v>
      </c>
      <c r="H1322" t="s">
        <v>2814</v>
      </c>
      <c r="I132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22" t="s">
        <v>1327</v>
      </c>
      <c r="K1322" t="str">
        <f>RIGHT(Tabla2[[#This Row],[codigo_producto]],LEN(Tabla2[[#This Row],[codigo_producto]])-FIND("/",Tabla2[[#This Row],[codigo_producto]]))</f>
        <v>3502102XPW01A</v>
      </c>
      <c r="L1322" t="str">
        <f>LEFT(Tabla2[[#This Row],[codigo_producto]],FIND("/",Tabla2[[#This Row],[codigo_producto]])-1)</f>
        <v>5</v>
      </c>
      <c r="M132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23" spans="1:13" x14ac:dyDescent="0.25">
      <c r="A1323" t="s">
        <v>4139</v>
      </c>
      <c r="B1323" t="s">
        <v>1837</v>
      </c>
      <c r="C1323" t="s">
        <v>1837</v>
      </c>
      <c r="D1323">
        <v>31</v>
      </c>
      <c r="E1323">
        <v>3</v>
      </c>
      <c r="F1323">
        <v>9</v>
      </c>
      <c r="G1323">
        <v>12</v>
      </c>
      <c r="H1323" t="s">
        <v>2818</v>
      </c>
      <c r="I132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323" t="s">
        <v>1328</v>
      </c>
      <c r="K1323" t="str">
        <f>RIGHT(Tabla2[[#This Row],[codigo_producto]],LEN(Tabla2[[#This Row],[codigo_producto]])-FIND("/",Tabla2[[#This Row],[codigo_producto]]))</f>
        <v>3502104BGW01A</v>
      </c>
      <c r="L1323" t="str">
        <f>LEFT(Tabla2[[#This Row],[codigo_producto]],FIND("/",Tabla2[[#This Row],[codigo_producto]])-1)</f>
        <v>5</v>
      </c>
      <c r="M132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24" spans="1:13" x14ac:dyDescent="0.25">
      <c r="A1324" t="s">
        <v>4140</v>
      </c>
      <c r="B1324" t="s">
        <v>1970</v>
      </c>
      <c r="C1324" t="s">
        <v>1970</v>
      </c>
      <c r="D1324">
        <v>22</v>
      </c>
      <c r="E1324">
        <v>3</v>
      </c>
      <c r="F1324">
        <v>9</v>
      </c>
      <c r="G1324">
        <v>12</v>
      </c>
      <c r="H1324" t="s">
        <v>2815</v>
      </c>
      <c r="I132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1324" t="s">
        <v>1329</v>
      </c>
      <c r="K1324" t="str">
        <f>RIGHT(Tabla2[[#This Row],[codigo_producto]],LEN(Tabla2[[#This Row],[codigo_producto]])-FIND("/",Tabla2[[#This Row],[codigo_producto]]))</f>
        <v>3502105XGW01A</v>
      </c>
      <c r="L1324" t="str">
        <f>LEFT(Tabla2[[#This Row],[codigo_producto]],FIND("/",Tabla2[[#This Row],[codigo_producto]])-1)</f>
        <v>5</v>
      </c>
      <c r="M132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25" spans="1:13" x14ac:dyDescent="0.25">
      <c r="A1325" t="s">
        <v>4141</v>
      </c>
      <c r="B1325" t="s">
        <v>1837</v>
      </c>
      <c r="C1325" t="s">
        <v>1837</v>
      </c>
      <c r="D1325">
        <v>31</v>
      </c>
      <c r="E1325">
        <v>3</v>
      </c>
      <c r="F1325">
        <v>9</v>
      </c>
      <c r="G1325">
        <v>12</v>
      </c>
      <c r="H1325" t="s">
        <v>2818</v>
      </c>
      <c r="I132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325" t="s">
        <v>1330</v>
      </c>
      <c r="K1325" t="str">
        <f>RIGHT(Tabla2[[#This Row],[codigo_producto]],LEN(Tabla2[[#This Row],[codigo_producto]])-FIND("/",Tabla2[[#This Row],[codigo_producto]]))</f>
        <v>3502109BGW01A</v>
      </c>
      <c r="L1325" t="str">
        <f>LEFT(Tabla2[[#This Row],[codigo_producto]],FIND("/",Tabla2[[#This Row],[codigo_producto]])-1)</f>
        <v>5</v>
      </c>
      <c r="M132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26" spans="1:13" x14ac:dyDescent="0.25">
      <c r="A1326" t="s">
        <v>4142</v>
      </c>
      <c r="B1326" t="s">
        <v>1964</v>
      </c>
      <c r="C1326" t="s">
        <v>1964</v>
      </c>
      <c r="D1326">
        <v>32</v>
      </c>
      <c r="E1326">
        <v>3</v>
      </c>
      <c r="F1326">
        <v>9</v>
      </c>
      <c r="G1326">
        <v>12</v>
      </c>
      <c r="H1326" t="s">
        <v>2814</v>
      </c>
      <c r="I132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26" t="s">
        <v>1331</v>
      </c>
      <c r="K1326" t="str">
        <f>RIGHT(Tabla2[[#This Row],[codigo_producto]],LEN(Tabla2[[#This Row],[codigo_producto]])-FIND("/",Tabla2[[#This Row],[codigo_producto]]))</f>
        <v>3502110XKZ1DA</v>
      </c>
      <c r="L1326" t="str">
        <f>LEFT(Tabla2[[#This Row],[codigo_producto]],FIND("/",Tabla2[[#This Row],[codigo_producto]])-1)</f>
        <v>5</v>
      </c>
      <c r="M132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27" spans="1:13" x14ac:dyDescent="0.25">
      <c r="A1327" t="s">
        <v>4143</v>
      </c>
      <c r="B1327" t="s">
        <v>1837</v>
      </c>
      <c r="C1327" t="s">
        <v>1837</v>
      </c>
      <c r="D1327">
        <v>32</v>
      </c>
      <c r="E1327">
        <v>3</v>
      </c>
      <c r="F1327">
        <v>9</v>
      </c>
      <c r="G1327">
        <v>12</v>
      </c>
      <c r="H1327" t="s">
        <v>2814</v>
      </c>
      <c r="I132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27" t="s">
        <v>1332</v>
      </c>
      <c r="K1327" t="str">
        <f>RIGHT(Tabla2[[#This Row],[codigo_producto]],LEN(Tabla2[[#This Row],[codigo_producto]])-FIND("/",Tabla2[[#This Row],[codigo_producto]]))</f>
        <v>3502126XGW02A</v>
      </c>
      <c r="L1327" t="str">
        <f>LEFT(Tabla2[[#This Row],[codigo_producto]],FIND("/",Tabla2[[#This Row],[codigo_producto]])-1)</f>
        <v>5</v>
      </c>
      <c r="M132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28" spans="1:13" x14ac:dyDescent="0.25">
      <c r="A1328" t="s">
        <v>4144</v>
      </c>
      <c r="B1328" t="s">
        <v>1837</v>
      </c>
      <c r="C1328" t="s">
        <v>1837</v>
      </c>
      <c r="D1328">
        <v>32</v>
      </c>
      <c r="E1328">
        <v>3</v>
      </c>
      <c r="F1328">
        <v>9</v>
      </c>
      <c r="G1328">
        <v>12</v>
      </c>
      <c r="H1328" t="s">
        <v>2814</v>
      </c>
      <c r="I132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28" t="s">
        <v>1333</v>
      </c>
      <c r="K1328" t="str">
        <f>RIGHT(Tabla2[[#This Row],[codigo_producto]],LEN(Tabla2[[#This Row],[codigo_producto]])-FIND("/",Tabla2[[#This Row],[codigo_producto]]))</f>
        <v>3502139XPW01A</v>
      </c>
      <c r="L1328" t="str">
        <f>LEFT(Tabla2[[#This Row],[codigo_producto]],FIND("/",Tabla2[[#This Row],[codigo_producto]])-1)</f>
        <v>5</v>
      </c>
      <c r="M132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29" spans="1:13" x14ac:dyDescent="0.25">
      <c r="A1329" t="s">
        <v>4145</v>
      </c>
      <c r="B1329" t="s">
        <v>1837</v>
      </c>
      <c r="C1329" t="s">
        <v>1837</v>
      </c>
      <c r="D1329">
        <v>32</v>
      </c>
      <c r="E1329">
        <v>3</v>
      </c>
      <c r="F1329">
        <v>9</v>
      </c>
      <c r="G1329">
        <v>12</v>
      </c>
      <c r="H1329" t="s">
        <v>2814</v>
      </c>
      <c r="I132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29" t="s">
        <v>1334</v>
      </c>
      <c r="K1329" t="str">
        <f>RIGHT(Tabla2[[#This Row],[codigo_producto]],LEN(Tabla2[[#This Row],[codigo_producto]])-FIND("/",Tabla2[[#This Row],[codigo_producto]]))</f>
        <v>3502140XKM01A</v>
      </c>
      <c r="L1329" t="str">
        <f>LEFT(Tabla2[[#This Row],[codigo_producto]],FIND("/",Tabla2[[#This Row],[codigo_producto]])-1)</f>
        <v>5</v>
      </c>
      <c r="M132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30" spans="1:13" x14ac:dyDescent="0.25">
      <c r="A1330" t="s">
        <v>4146</v>
      </c>
      <c r="B1330" t="s">
        <v>1837</v>
      </c>
      <c r="C1330" t="s">
        <v>1837</v>
      </c>
      <c r="D1330">
        <v>32</v>
      </c>
      <c r="E1330">
        <v>3</v>
      </c>
      <c r="F1330">
        <v>9</v>
      </c>
      <c r="G1330">
        <v>12</v>
      </c>
      <c r="H1330" t="s">
        <v>2814</v>
      </c>
      <c r="I133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30" t="s">
        <v>1335</v>
      </c>
      <c r="K1330" t="str">
        <f>RIGHT(Tabla2[[#This Row],[codigo_producto]],LEN(Tabla2[[#This Row],[codigo_producto]])-FIND("/",Tabla2[[#This Row],[codigo_producto]]))</f>
        <v>3502140XPW01A</v>
      </c>
      <c r="L1330" t="str">
        <f>LEFT(Tabla2[[#This Row],[codigo_producto]],FIND("/",Tabla2[[#This Row],[codigo_producto]])-1)</f>
        <v>5</v>
      </c>
      <c r="M133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31" spans="1:13" x14ac:dyDescent="0.25">
      <c r="A1331" t="s">
        <v>4147</v>
      </c>
      <c r="B1331" t="s">
        <v>2611</v>
      </c>
      <c r="C1331" t="s">
        <v>2611</v>
      </c>
      <c r="D1331">
        <v>32</v>
      </c>
      <c r="E1331">
        <v>3</v>
      </c>
      <c r="F1331">
        <v>9</v>
      </c>
      <c r="G1331">
        <v>12</v>
      </c>
      <c r="H1331" t="s">
        <v>2814</v>
      </c>
      <c r="I133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31" t="s">
        <v>1336</v>
      </c>
      <c r="K1331" t="str">
        <f>RIGHT(Tabla2[[#This Row],[codigo_producto]],LEN(Tabla2[[#This Row],[codigo_producto]])-FIND("/",Tabla2[[#This Row],[codigo_producto]]))</f>
        <v>3502315AKZ16A</v>
      </c>
      <c r="L1331" t="str">
        <f>LEFT(Tabla2[[#This Row],[codigo_producto]],FIND("/",Tabla2[[#This Row],[codigo_producto]])-1)</f>
        <v>5</v>
      </c>
      <c r="M133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32" spans="1:13" x14ac:dyDescent="0.25">
      <c r="A1332" t="s">
        <v>4148</v>
      </c>
      <c r="B1332" t="s">
        <v>2612</v>
      </c>
      <c r="C1332" t="s">
        <v>2612</v>
      </c>
      <c r="D1332">
        <v>31</v>
      </c>
      <c r="E1332">
        <v>3</v>
      </c>
      <c r="F1332">
        <v>9</v>
      </c>
      <c r="G1332">
        <v>12</v>
      </c>
      <c r="H1332" t="s">
        <v>2818</v>
      </c>
      <c r="I133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332" t="s">
        <v>1337</v>
      </c>
      <c r="K1332" t="str">
        <f>RIGHT(Tabla2[[#This Row],[codigo_producto]],LEN(Tabla2[[#This Row],[codigo_producto]])-FIND("/",Tabla2[[#This Row],[codigo_producto]]))</f>
        <v>3502700XKZ16A</v>
      </c>
      <c r="L1332" t="str">
        <f>LEFT(Tabla2[[#This Row],[codigo_producto]],FIND("/",Tabla2[[#This Row],[codigo_producto]])-1)</f>
        <v>5</v>
      </c>
      <c r="M133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33" spans="1:13" x14ac:dyDescent="0.25">
      <c r="A1333" t="s">
        <v>4149</v>
      </c>
      <c r="B1333" t="s">
        <v>2613</v>
      </c>
      <c r="C1333" t="s">
        <v>2613</v>
      </c>
      <c r="D1333">
        <v>31</v>
      </c>
      <c r="E1333">
        <v>3</v>
      </c>
      <c r="F1333">
        <v>9</v>
      </c>
      <c r="G1333">
        <v>12</v>
      </c>
      <c r="H1333" t="s">
        <v>2818</v>
      </c>
      <c r="I133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333" t="s">
        <v>1338</v>
      </c>
      <c r="K1333" t="str">
        <f>RIGHT(Tabla2[[#This Row],[codigo_producto]],LEN(Tabla2[[#This Row],[codigo_producto]])-FIND("/",Tabla2[[#This Row],[codigo_producto]]))</f>
        <v>3502800XKZ16A</v>
      </c>
      <c r="L1333" t="str">
        <f>LEFT(Tabla2[[#This Row],[codigo_producto]],FIND("/",Tabla2[[#This Row],[codigo_producto]])-1)</f>
        <v>5</v>
      </c>
      <c r="M133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34" spans="1:13" x14ac:dyDescent="0.25">
      <c r="A1334" t="s">
        <v>4150</v>
      </c>
      <c r="B1334" t="s">
        <v>2614</v>
      </c>
      <c r="C1334" t="s">
        <v>2614</v>
      </c>
      <c r="D1334">
        <v>32</v>
      </c>
      <c r="E1334">
        <v>3</v>
      </c>
      <c r="F1334">
        <v>9</v>
      </c>
      <c r="G1334">
        <v>12</v>
      </c>
      <c r="H1334" t="s">
        <v>2814</v>
      </c>
      <c r="I133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34" t="s">
        <v>1339</v>
      </c>
      <c r="K1334" t="str">
        <f>RIGHT(Tabla2[[#This Row],[codigo_producto]],LEN(Tabla2[[#This Row],[codigo_producto]])-FIND("/",Tabla2[[#This Row],[codigo_producto]]))</f>
        <v>3506108XPW01A</v>
      </c>
      <c r="L1334" t="str">
        <f>LEFT(Tabla2[[#This Row],[codigo_producto]],FIND("/",Tabla2[[#This Row],[codigo_producto]])-1)</f>
        <v>5</v>
      </c>
      <c r="M133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35" spans="1:13" x14ac:dyDescent="0.25">
      <c r="A1335" t="s">
        <v>4151</v>
      </c>
      <c r="B1335" t="s">
        <v>2615</v>
      </c>
      <c r="C1335" t="s">
        <v>2615</v>
      </c>
      <c r="D1335">
        <v>32</v>
      </c>
      <c r="E1335">
        <v>3</v>
      </c>
      <c r="F1335">
        <v>9</v>
      </c>
      <c r="G1335">
        <v>12</v>
      </c>
      <c r="H1335" t="s">
        <v>2814</v>
      </c>
      <c r="I133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35" t="s">
        <v>1340</v>
      </c>
      <c r="K1335" t="str">
        <f>RIGHT(Tabla2[[#This Row],[codigo_producto]],LEN(Tabla2[[#This Row],[codigo_producto]])-FIND("/",Tabla2[[#This Row],[codigo_producto]]))</f>
        <v>3506109XPW01A</v>
      </c>
      <c r="L1335" t="str">
        <f>LEFT(Tabla2[[#This Row],[codigo_producto]],FIND("/",Tabla2[[#This Row],[codigo_producto]])-1)</f>
        <v>5</v>
      </c>
      <c r="M133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36" spans="1:13" x14ac:dyDescent="0.25">
      <c r="A1336" t="s">
        <v>4152</v>
      </c>
      <c r="B1336" t="s">
        <v>2616</v>
      </c>
      <c r="C1336" t="s">
        <v>2616</v>
      </c>
      <c r="D1336">
        <v>31</v>
      </c>
      <c r="E1336">
        <v>3</v>
      </c>
      <c r="F1336">
        <v>9</v>
      </c>
      <c r="G1336">
        <v>12</v>
      </c>
      <c r="H1336" t="s">
        <v>2818</v>
      </c>
      <c r="I133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336" t="s">
        <v>1341</v>
      </c>
      <c r="K1336" t="str">
        <f>RIGHT(Tabla2[[#This Row],[codigo_producto]],LEN(Tabla2[[#This Row],[codigo_producto]])-FIND("/",Tabla2[[#This Row],[codigo_producto]]))</f>
        <v>3550140XK18XA</v>
      </c>
      <c r="L1336" t="str">
        <f>LEFT(Tabla2[[#This Row],[codigo_producto]],FIND("/",Tabla2[[#This Row],[codigo_producto]])-1)</f>
        <v>5</v>
      </c>
      <c r="M133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37" spans="1:13" x14ac:dyDescent="0.25">
      <c r="A1337" t="s">
        <v>4153</v>
      </c>
      <c r="B1337" t="s">
        <v>2617</v>
      </c>
      <c r="C1337" t="s">
        <v>2617</v>
      </c>
      <c r="D1337">
        <v>31</v>
      </c>
      <c r="E1337">
        <v>3</v>
      </c>
      <c r="F1337">
        <v>9</v>
      </c>
      <c r="G1337">
        <v>12</v>
      </c>
      <c r="H1337" t="s">
        <v>2818</v>
      </c>
      <c r="I133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337" t="s">
        <v>1342</v>
      </c>
      <c r="K1337" t="str">
        <f>RIGHT(Tabla2[[#This Row],[codigo_producto]],LEN(Tabla2[[#This Row],[codigo_producto]])-FIND("/",Tabla2[[#This Row],[codigo_producto]]))</f>
        <v>3603101XPW01A</v>
      </c>
      <c r="L1337" t="str">
        <f>LEFT(Tabla2[[#This Row],[codigo_producto]],FIND("/",Tabla2[[#This Row],[codigo_producto]])-1)</f>
        <v>5</v>
      </c>
      <c r="M133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38" spans="1:13" x14ac:dyDescent="0.25">
      <c r="A1338" t="s">
        <v>4154</v>
      </c>
      <c r="B1338" t="s">
        <v>2618</v>
      </c>
      <c r="C1338" t="s">
        <v>2618</v>
      </c>
      <c r="D1338">
        <v>32</v>
      </c>
      <c r="E1338">
        <v>3</v>
      </c>
      <c r="F1338">
        <v>9</v>
      </c>
      <c r="G1338">
        <v>12</v>
      </c>
      <c r="H1338" t="s">
        <v>2814</v>
      </c>
      <c r="I133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38" t="s">
        <v>1343</v>
      </c>
      <c r="K1338" t="str">
        <f>RIGHT(Tabla2[[#This Row],[codigo_producto]],LEN(Tabla2[[#This Row],[codigo_producto]])-FIND("/",Tabla2[[#This Row],[codigo_producto]]))</f>
        <v>3641101AKN01A</v>
      </c>
      <c r="L1338" t="str">
        <f>LEFT(Tabla2[[#This Row],[codigo_producto]],FIND("/",Tabla2[[#This Row],[codigo_producto]])-1)</f>
        <v>5</v>
      </c>
      <c r="M133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39" spans="1:13" x14ac:dyDescent="0.25">
      <c r="A1339" t="s">
        <v>4155</v>
      </c>
      <c r="B1339" t="s">
        <v>2619</v>
      </c>
      <c r="C1339" t="s">
        <v>2619</v>
      </c>
      <c r="D1339">
        <v>32</v>
      </c>
      <c r="E1339">
        <v>3</v>
      </c>
      <c r="F1339">
        <v>9</v>
      </c>
      <c r="G1339">
        <v>12</v>
      </c>
      <c r="H1339" t="s">
        <v>2814</v>
      </c>
      <c r="I133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39" t="s">
        <v>1344</v>
      </c>
      <c r="K1339" t="str">
        <f>RIGHT(Tabla2[[#This Row],[codigo_producto]],LEN(Tabla2[[#This Row],[codigo_producto]])-FIND("/",Tabla2[[#This Row],[codigo_producto]]))</f>
        <v>3641101XKN01A</v>
      </c>
      <c r="L1339" t="str">
        <f>LEFT(Tabla2[[#This Row],[codigo_producto]],FIND("/",Tabla2[[#This Row],[codigo_producto]])-1)</f>
        <v>5</v>
      </c>
      <c r="M133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40" spans="1:13" x14ac:dyDescent="0.25">
      <c r="A1340" t="s">
        <v>4156</v>
      </c>
      <c r="B1340" t="s">
        <v>2620</v>
      </c>
      <c r="C1340" t="s">
        <v>2620</v>
      </c>
      <c r="D1340">
        <v>32</v>
      </c>
      <c r="E1340">
        <v>3</v>
      </c>
      <c r="F1340">
        <v>9</v>
      </c>
      <c r="G1340">
        <v>12</v>
      </c>
      <c r="H1340" t="s">
        <v>2814</v>
      </c>
      <c r="I134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40" t="s">
        <v>1345</v>
      </c>
      <c r="K1340" t="str">
        <f>RIGHT(Tabla2[[#This Row],[codigo_producto]],LEN(Tabla2[[#This Row],[codigo_producto]])-FIND("/",Tabla2[[#This Row],[codigo_producto]]))</f>
        <v>3658200XKZ16A</v>
      </c>
      <c r="L1340" t="str">
        <f>LEFT(Tabla2[[#This Row],[codigo_producto]],FIND("/",Tabla2[[#This Row],[codigo_producto]])-1)</f>
        <v>5</v>
      </c>
      <c r="M134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41" spans="1:13" x14ac:dyDescent="0.25">
      <c r="A1341" t="s">
        <v>4157</v>
      </c>
      <c r="B1341" t="s">
        <v>2621</v>
      </c>
      <c r="C1341" t="s">
        <v>2621</v>
      </c>
      <c r="D1341">
        <v>32</v>
      </c>
      <c r="E1341">
        <v>3</v>
      </c>
      <c r="F1341">
        <v>9</v>
      </c>
      <c r="G1341">
        <v>12</v>
      </c>
      <c r="H1341" t="s">
        <v>2814</v>
      </c>
      <c r="I134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41" t="s">
        <v>1346</v>
      </c>
      <c r="K1341" t="str">
        <f>RIGHT(Tabla2[[#This Row],[codigo_producto]],LEN(Tabla2[[#This Row],[codigo_producto]])-FIND("/",Tabla2[[#This Row],[codigo_producto]]))</f>
        <v>3701011AED01A</v>
      </c>
      <c r="L1341" t="str">
        <f>LEFT(Tabla2[[#This Row],[codigo_producto]],FIND("/",Tabla2[[#This Row],[codigo_producto]])-1)</f>
        <v>5</v>
      </c>
      <c r="M134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42" spans="1:13" x14ac:dyDescent="0.25">
      <c r="A1342" t="s">
        <v>4158</v>
      </c>
      <c r="B1342" t="s">
        <v>2622</v>
      </c>
      <c r="C1342" t="s">
        <v>2622</v>
      </c>
      <c r="D1342">
        <v>32</v>
      </c>
      <c r="E1342">
        <v>3</v>
      </c>
      <c r="F1342">
        <v>9</v>
      </c>
      <c r="G1342">
        <v>12</v>
      </c>
      <c r="H1342" t="s">
        <v>2814</v>
      </c>
      <c r="I134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42" t="s">
        <v>1347</v>
      </c>
      <c r="K1342" t="str">
        <f>RIGHT(Tabla2[[#This Row],[codigo_producto]],LEN(Tabla2[[#This Row],[codigo_producto]])-FIND("/",Tabla2[[#This Row],[codigo_producto]]))</f>
        <v>3701200AED01A</v>
      </c>
      <c r="L1342" t="str">
        <f>LEFT(Tabla2[[#This Row],[codigo_producto]],FIND("/",Tabla2[[#This Row],[codigo_producto]])-1)</f>
        <v>5</v>
      </c>
      <c r="M134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43" spans="1:13" x14ac:dyDescent="0.25">
      <c r="A1343" t="s">
        <v>4159</v>
      </c>
      <c r="B1343" t="s">
        <v>2623</v>
      </c>
      <c r="C1343" t="s">
        <v>2623</v>
      </c>
      <c r="D1343">
        <v>32</v>
      </c>
      <c r="E1343">
        <v>3</v>
      </c>
      <c r="F1343">
        <v>9</v>
      </c>
      <c r="G1343">
        <v>12</v>
      </c>
      <c r="H1343" t="s">
        <v>2814</v>
      </c>
      <c r="I134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43" t="s">
        <v>1348</v>
      </c>
      <c r="K1343" t="str">
        <f>RIGHT(Tabla2[[#This Row],[codigo_producto]],LEN(Tabla2[[#This Row],[codigo_producto]])-FIND("/",Tabla2[[#This Row],[codigo_producto]]))</f>
        <v>3701400AED01A</v>
      </c>
      <c r="L1343" t="str">
        <f>LEFT(Tabla2[[#This Row],[codigo_producto]],FIND("/",Tabla2[[#This Row],[codigo_producto]])-1)</f>
        <v>5</v>
      </c>
      <c r="M134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44" spans="1:13" x14ac:dyDescent="0.25">
      <c r="A1344" t="s">
        <v>4160</v>
      </c>
      <c r="B1344" t="s">
        <v>2624</v>
      </c>
      <c r="C1344" t="s">
        <v>2624</v>
      </c>
      <c r="D1344">
        <v>32</v>
      </c>
      <c r="E1344">
        <v>3</v>
      </c>
      <c r="F1344">
        <v>9</v>
      </c>
      <c r="G1344">
        <v>12</v>
      </c>
      <c r="H1344" t="s">
        <v>2814</v>
      </c>
      <c r="I134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44" t="s">
        <v>1349</v>
      </c>
      <c r="K1344" t="str">
        <f>RIGHT(Tabla2[[#This Row],[codigo_producto]],LEN(Tabla2[[#This Row],[codigo_producto]])-FIND("/",Tabla2[[#This Row],[codigo_producto]]))</f>
        <v>3701500AED01A</v>
      </c>
      <c r="L1344" t="str">
        <f>LEFT(Tabla2[[#This Row],[codigo_producto]],FIND("/",Tabla2[[#This Row],[codigo_producto]])-1)</f>
        <v>5</v>
      </c>
      <c r="M134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45" spans="1:13" x14ac:dyDescent="0.25">
      <c r="A1345" t="s">
        <v>4161</v>
      </c>
      <c r="B1345" t="s">
        <v>1839</v>
      </c>
      <c r="C1345" t="s">
        <v>1839</v>
      </c>
      <c r="D1345">
        <v>32</v>
      </c>
      <c r="E1345">
        <v>3</v>
      </c>
      <c r="F1345">
        <v>9</v>
      </c>
      <c r="G1345">
        <v>12</v>
      </c>
      <c r="H1345" t="s">
        <v>2814</v>
      </c>
      <c r="I134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45" t="s">
        <v>1350</v>
      </c>
      <c r="K1345" t="str">
        <f>RIGHT(Tabla2[[#This Row],[codigo_producto]],LEN(Tabla2[[#This Row],[codigo_producto]])-FIND("/",Tabla2[[#This Row],[codigo_producto]]))</f>
        <v>3707100XEG01B</v>
      </c>
      <c r="L1345" t="str">
        <f>LEFT(Tabla2[[#This Row],[codigo_producto]],FIND("/",Tabla2[[#This Row],[codigo_producto]])-1)</f>
        <v>5</v>
      </c>
      <c r="M134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46" spans="1:13" x14ac:dyDescent="0.25">
      <c r="A1346" t="s">
        <v>4162</v>
      </c>
      <c r="B1346" t="s">
        <v>2625</v>
      </c>
      <c r="C1346" t="s">
        <v>2625</v>
      </c>
      <c r="D1346">
        <v>22</v>
      </c>
      <c r="E1346">
        <v>3</v>
      </c>
      <c r="F1346">
        <v>9</v>
      </c>
      <c r="G1346">
        <v>12</v>
      </c>
      <c r="H1346" t="s">
        <v>2815</v>
      </c>
      <c r="I134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1346" t="s">
        <v>1351</v>
      </c>
      <c r="K1346" t="str">
        <f>RIGHT(Tabla2[[#This Row],[codigo_producto]],LEN(Tabla2[[#This Row],[codigo_producto]])-FIND("/",Tabla2[[#This Row],[codigo_producto]]))</f>
        <v>3781100XSZ08A</v>
      </c>
      <c r="L1346" t="str">
        <f>LEFT(Tabla2[[#This Row],[codigo_producto]],FIND("/",Tabla2[[#This Row],[codigo_producto]])-1)</f>
        <v>5</v>
      </c>
      <c r="M134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47" spans="1:13" x14ac:dyDescent="0.25">
      <c r="A1347" t="s">
        <v>4163</v>
      </c>
      <c r="B1347" t="s">
        <v>2626</v>
      </c>
      <c r="C1347" t="s">
        <v>2626</v>
      </c>
      <c r="D1347">
        <v>31</v>
      </c>
      <c r="E1347">
        <v>3</v>
      </c>
      <c r="F1347">
        <v>9</v>
      </c>
      <c r="G1347">
        <v>12</v>
      </c>
      <c r="H1347" t="s">
        <v>2818</v>
      </c>
      <c r="I134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347" t="s">
        <v>1352</v>
      </c>
      <c r="K1347" t="str">
        <f>RIGHT(Tabla2[[#This Row],[codigo_producto]],LEN(Tabla2[[#This Row],[codigo_producto]])-FIND("/",Tabla2[[#This Row],[codigo_producto]]))</f>
        <v>3787230XK00XB</v>
      </c>
      <c r="L1347" t="str">
        <f>LEFT(Tabla2[[#This Row],[codigo_producto]],FIND("/",Tabla2[[#This Row],[codigo_producto]])-1)</f>
        <v>5</v>
      </c>
      <c r="M134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48" spans="1:13" x14ac:dyDescent="0.25">
      <c r="A1348" t="s">
        <v>4164</v>
      </c>
      <c r="B1348" t="s">
        <v>2627</v>
      </c>
      <c r="C1348" t="s">
        <v>2627</v>
      </c>
      <c r="D1348">
        <v>31</v>
      </c>
      <c r="E1348">
        <v>3</v>
      </c>
      <c r="F1348">
        <v>9</v>
      </c>
      <c r="G1348">
        <v>12</v>
      </c>
      <c r="H1348" t="s">
        <v>2818</v>
      </c>
      <c r="I134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348" t="s">
        <v>1353</v>
      </c>
      <c r="K1348" t="str">
        <f>RIGHT(Tabla2[[#This Row],[codigo_producto]],LEN(Tabla2[[#This Row],[codigo_producto]])-FIND("/",Tabla2[[#This Row],[codigo_producto]]))</f>
        <v>3787240XK00XB</v>
      </c>
      <c r="L1348" t="str">
        <f>LEFT(Tabla2[[#This Row],[codigo_producto]],FIND("/",Tabla2[[#This Row],[codigo_producto]])-1)</f>
        <v>5</v>
      </c>
      <c r="M134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49" spans="1:13" x14ac:dyDescent="0.25">
      <c r="A1349" t="s">
        <v>4165</v>
      </c>
      <c r="B1349" t="s">
        <v>2628</v>
      </c>
      <c r="C1349" t="s">
        <v>2628</v>
      </c>
      <c r="D1349">
        <v>31</v>
      </c>
      <c r="E1349">
        <v>3</v>
      </c>
      <c r="F1349">
        <v>9</v>
      </c>
      <c r="G1349">
        <v>12</v>
      </c>
      <c r="H1349" t="s">
        <v>2818</v>
      </c>
      <c r="I134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349" t="s">
        <v>1354</v>
      </c>
      <c r="K1349" t="str">
        <f>RIGHT(Tabla2[[#This Row],[codigo_producto]],LEN(Tabla2[[#This Row],[codigo_producto]])-FIND("/",Tabla2[[#This Row],[codigo_producto]]))</f>
        <v>3921101XKN01A</v>
      </c>
      <c r="L1349" t="str">
        <f>LEFT(Tabla2[[#This Row],[codigo_producto]],FIND("/",Tabla2[[#This Row],[codigo_producto]])-1)</f>
        <v>5</v>
      </c>
      <c r="M134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50" spans="1:13" x14ac:dyDescent="0.25">
      <c r="A1350" t="s">
        <v>4166</v>
      </c>
      <c r="B1350" t="s">
        <v>2629</v>
      </c>
      <c r="C1350" t="s">
        <v>2629</v>
      </c>
      <c r="D1350">
        <v>32</v>
      </c>
      <c r="E1350">
        <v>3</v>
      </c>
      <c r="F1350">
        <v>9</v>
      </c>
      <c r="G1350">
        <v>12</v>
      </c>
      <c r="H1350" t="s">
        <v>2814</v>
      </c>
      <c r="I135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50" t="s">
        <v>1355</v>
      </c>
      <c r="K1350" t="str">
        <f>RIGHT(Tabla2[[#This Row],[codigo_producto]],LEN(Tabla2[[#This Row],[codigo_producto]])-FIND("/",Tabla2[[#This Row],[codigo_producto]]))</f>
        <v>4121101XPW01A</v>
      </c>
      <c r="L1350" t="str">
        <f>LEFT(Tabla2[[#This Row],[codigo_producto]],FIND("/",Tabla2[[#This Row],[codigo_producto]])-1)</f>
        <v>5</v>
      </c>
      <c r="M135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51" spans="1:13" x14ac:dyDescent="0.25">
      <c r="A1351" t="s">
        <v>4167</v>
      </c>
      <c r="B1351" t="s">
        <v>2504</v>
      </c>
      <c r="C1351" t="s">
        <v>2504</v>
      </c>
      <c r="D1351">
        <v>32</v>
      </c>
      <c r="E1351">
        <v>3</v>
      </c>
      <c r="F1351">
        <v>9</v>
      </c>
      <c r="G1351">
        <v>12</v>
      </c>
      <c r="H1351" t="s">
        <v>2814</v>
      </c>
      <c r="I135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51" t="s">
        <v>1356</v>
      </c>
      <c r="K1351" t="str">
        <f>RIGHT(Tabla2[[#This Row],[codigo_producto]],LEN(Tabla2[[#This Row],[codigo_producto]])-FIND("/",Tabla2[[#This Row],[codigo_producto]]))</f>
        <v>4133101XPW01A</v>
      </c>
      <c r="L1351" t="str">
        <f>LEFT(Tabla2[[#This Row],[codigo_producto]],FIND("/",Tabla2[[#This Row],[codigo_producto]])-1)</f>
        <v>5</v>
      </c>
      <c r="M135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52" spans="1:13" x14ac:dyDescent="0.25">
      <c r="A1352" t="s">
        <v>4168</v>
      </c>
      <c r="B1352" t="s">
        <v>2630</v>
      </c>
      <c r="C1352" t="s">
        <v>2630</v>
      </c>
      <c r="D1352">
        <v>32</v>
      </c>
      <c r="E1352">
        <v>3</v>
      </c>
      <c r="F1352">
        <v>9</v>
      </c>
      <c r="G1352">
        <v>12</v>
      </c>
      <c r="H1352" t="s">
        <v>2814</v>
      </c>
      <c r="I135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52" t="s">
        <v>1357</v>
      </c>
      <c r="K1352" t="str">
        <f>RIGHT(Tabla2[[#This Row],[codigo_producto]],LEN(Tabla2[[#This Row],[codigo_producto]])-FIND("/",Tabla2[[#This Row],[codigo_producto]]))</f>
        <v>5206102XPW01A</v>
      </c>
      <c r="L1352" t="str">
        <f>LEFT(Tabla2[[#This Row],[codigo_producto]],FIND("/",Tabla2[[#This Row],[codigo_producto]])-1)</f>
        <v>5</v>
      </c>
      <c r="M135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53" spans="1:13" x14ac:dyDescent="0.25">
      <c r="A1353" t="s">
        <v>4169</v>
      </c>
      <c r="B1353" t="s">
        <v>2630</v>
      </c>
      <c r="C1353" t="s">
        <v>2630</v>
      </c>
      <c r="D1353">
        <v>22</v>
      </c>
      <c r="E1353">
        <v>3</v>
      </c>
      <c r="F1353">
        <v>9</v>
      </c>
      <c r="G1353">
        <v>12</v>
      </c>
      <c r="H1353" t="s">
        <v>2815</v>
      </c>
      <c r="I135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1353" t="s">
        <v>1358</v>
      </c>
      <c r="K1353" t="str">
        <f>RIGHT(Tabla2[[#This Row],[codigo_producto]],LEN(Tabla2[[#This Row],[codigo_producto]])-FIND("/",Tabla2[[#This Row],[codigo_producto]]))</f>
        <v>5206102XPW01B</v>
      </c>
      <c r="L1353" t="str">
        <f>LEFT(Tabla2[[#This Row],[codigo_producto]],FIND("/",Tabla2[[#This Row],[codigo_producto]])-1)</f>
        <v>5</v>
      </c>
      <c r="M135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54" spans="1:13" x14ac:dyDescent="0.25">
      <c r="A1354" t="s">
        <v>4170</v>
      </c>
      <c r="B1354" t="s">
        <v>2631</v>
      </c>
      <c r="C1354" t="s">
        <v>2631</v>
      </c>
      <c r="D1354">
        <v>31</v>
      </c>
      <c r="E1354">
        <v>3</v>
      </c>
      <c r="F1354">
        <v>9</v>
      </c>
      <c r="G1354">
        <v>12</v>
      </c>
      <c r="H1354" t="s">
        <v>2818</v>
      </c>
      <c r="I135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354" t="s">
        <v>1359</v>
      </c>
      <c r="K1354" t="str">
        <f>RIGHT(Tabla2[[#This Row],[codigo_producto]],LEN(Tabla2[[#This Row],[codigo_producto]])-FIND("/",Tabla2[[#This Row],[codigo_producto]]))</f>
        <v>5509121XKN01A</v>
      </c>
      <c r="L1354" t="str">
        <f>LEFT(Tabla2[[#This Row],[codigo_producto]],FIND("/",Tabla2[[#This Row],[codigo_producto]])-1)</f>
        <v>5</v>
      </c>
      <c r="M135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55" spans="1:13" x14ac:dyDescent="0.25">
      <c r="A1355" t="s">
        <v>4171</v>
      </c>
      <c r="B1355" t="s">
        <v>2632</v>
      </c>
      <c r="C1355" t="s">
        <v>2632</v>
      </c>
      <c r="D1355">
        <v>31</v>
      </c>
      <c r="E1355">
        <v>3</v>
      </c>
      <c r="F1355">
        <v>9</v>
      </c>
      <c r="G1355">
        <v>12</v>
      </c>
      <c r="H1355" t="s">
        <v>2818</v>
      </c>
      <c r="I135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355" t="s">
        <v>1360</v>
      </c>
      <c r="K1355" t="str">
        <f>RIGHT(Tabla2[[#This Row],[codigo_producto]],LEN(Tabla2[[#This Row],[codigo_producto]])-FIND("/",Tabla2[[#This Row],[codigo_producto]]))</f>
        <v>5514101XPW03A</v>
      </c>
      <c r="L1355" t="str">
        <f>LEFT(Tabla2[[#This Row],[codigo_producto]],FIND("/",Tabla2[[#This Row],[codigo_producto]])-1)</f>
        <v>5</v>
      </c>
      <c r="M135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56" spans="1:13" x14ac:dyDescent="0.25">
      <c r="A1356" t="s">
        <v>4172</v>
      </c>
      <c r="B1356" t="s">
        <v>2633</v>
      </c>
      <c r="C1356" t="s">
        <v>2633</v>
      </c>
      <c r="D1356">
        <v>31</v>
      </c>
      <c r="E1356">
        <v>3</v>
      </c>
      <c r="F1356">
        <v>9</v>
      </c>
      <c r="G1356">
        <v>12</v>
      </c>
      <c r="H1356" t="s">
        <v>2818</v>
      </c>
      <c r="I135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356" t="s">
        <v>1361</v>
      </c>
      <c r="K1356" t="str">
        <f>RIGHT(Tabla2[[#This Row],[codigo_producto]],LEN(Tabla2[[#This Row],[codigo_producto]])-FIND("/",Tabla2[[#This Row],[codigo_producto]]))</f>
        <v>6101700XKN01A</v>
      </c>
      <c r="L1356" t="str">
        <f>LEFT(Tabla2[[#This Row],[codigo_producto]],FIND("/",Tabla2[[#This Row],[codigo_producto]])-1)</f>
        <v>5</v>
      </c>
      <c r="M135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57" spans="1:13" x14ac:dyDescent="0.25">
      <c r="A1357" t="s">
        <v>4173</v>
      </c>
      <c r="B1357" t="s">
        <v>1894</v>
      </c>
      <c r="C1357" t="s">
        <v>1894</v>
      </c>
      <c r="D1357">
        <v>31</v>
      </c>
      <c r="E1357">
        <v>3</v>
      </c>
      <c r="F1357">
        <v>9</v>
      </c>
      <c r="G1357">
        <v>12</v>
      </c>
      <c r="H1357" t="s">
        <v>2818</v>
      </c>
      <c r="I135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357" t="s">
        <v>1362</v>
      </c>
      <c r="K1357" t="str">
        <f>RIGHT(Tabla2[[#This Row],[codigo_producto]],LEN(Tabla2[[#This Row],[codigo_producto]])-FIND("/",Tabla2[[#This Row],[codigo_producto]]))</f>
        <v>8103081XB00XA</v>
      </c>
      <c r="L1357" t="str">
        <f>LEFT(Tabla2[[#This Row],[codigo_producto]],FIND("/",Tabla2[[#This Row],[codigo_producto]])-1)</f>
        <v>5</v>
      </c>
      <c r="M135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58" spans="1:13" x14ac:dyDescent="0.25">
      <c r="A1358" t="s">
        <v>4174</v>
      </c>
      <c r="B1358" t="s">
        <v>1829</v>
      </c>
      <c r="C1358" t="s">
        <v>1829</v>
      </c>
      <c r="D1358">
        <v>32</v>
      </c>
      <c r="E1358">
        <v>3</v>
      </c>
      <c r="F1358">
        <v>9</v>
      </c>
      <c r="G1358">
        <v>12</v>
      </c>
      <c r="H1358" t="s">
        <v>2814</v>
      </c>
      <c r="I135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58" t="s">
        <v>1363</v>
      </c>
      <c r="K1358" t="str">
        <f>RIGHT(Tabla2[[#This Row],[codigo_producto]],LEN(Tabla2[[#This Row],[codigo_producto]])-FIND("/",Tabla2[[#This Row],[codigo_producto]]))</f>
        <v>8104300XKR02A</v>
      </c>
      <c r="L1358" t="str">
        <f>LEFT(Tabla2[[#This Row],[codigo_producto]],FIND("/",Tabla2[[#This Row],[codigo_producto]])-1)</f>
        <v>5</v>
      </c>
      <c r="M135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59" spans="1:13" x14ac:dyDescent="0.25">
      <c r="A1359" t="s">
        <v>4175</v>
      </c>
      <c r="B1359" t="s">
        <v>1799</v>
      </c>
      <c r="C1359" t="s">
        <v>1799</v>
      </c>
      <c r="D1359">
        <v>32</v>
      </c>
      <c r="E1359">
        <v>3</v>
      </c>
      <c r="F1359">
        <v>9</v>
      </c>
      <c r="G1359">
        <v>12</v>
      </c>
      <c r="H1359" t="s">
        <v>2814</v>
      </c>
      <c r="I135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59" t="s">
        <v>1364</v>
      </c>
      <c r="K1359" t="str">
        <f>RIGHT(Tabla2[[#This Row],[codigo_producto]],LEN(Tabla2[[#This Row],[codigo_producto]])-FIND("/",Tabla2[[#This Row],[codigo_producto]]))</f>
        <v>8104400ASZ08A</v>
      </c>
      <c r="L1359" t="str">
        <f>LEFT(Tabla2[[#This Row],[codigo_producto]],FIND("/",Tabla2[[#This Row],[codigo_producto]])-1)</f>
        <v>5</v>
      </c>
      <c r="M135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60" spans="1:13" x14ac:dyDescent="0.25">
      <c r="A1360" t="s">
        <v>4176</v>
      </c>
      <c r="B1360" t="s">
        <v>2634</v>
      </c>
      <c r="C1360" t="s">
        <v>2634</v>
      </c>
      <c r="D1360">
        <v>32</v>
      </c>
      <c r="E1360">
        <v>3</v>
      </c>
      <c r="F1360">
        <v>9</v>
      </c>
      <c r="G1360">
        <v>12</v>
      </c>
      <c r="H1360" t="s">
        <v>2814</v>
      </c>
      <c r="I136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60" t="s">
        <v>1365</v>
      </c>
      <c r="K1360" t="str">
        <f>RIGHT(Tabla2[[#This Row],[codigo_producto]],LEN(Tabla2[[#This Row],[codigo_producto]])-FIND("/",Tabla2[[#This Row],[codigo_producto]]))</f>
        <v>8104400BK00XA</v>
      </c>
      <c r="L1360" t="str">
        <f>LEFT(Tabla2[[#This Row],[codigo_producto]],FIND("/",Tabla2[[#This Row],[codigo_producto]])-1)</f>
        <v>5</v>
      </c>
      <c r="M136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61" spans="1:13" x14ac:dyDescent="0.25">
      <c r="A1361" t="s">
        <v>4177</v>
      </c>
      <c r="B1361" t="s">
        <v>2635</v>
      </c>
      <c r="C1361" t="s">
        <v>2635</v>
      </c>
      <c r="D1361">
        <v>32</v>
      </c>
      <c r="E1361">
        <v>3</v>
      </c>
      <c r="F1361">
        <v>9</v>
      </c>
      <c r="G1361">
        <v>12</v>
      </c>
      <c r="H1361" t="s">
        <v>2814</v>
      </c>
      <c r="I136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61" t="s">
        <v>1366</v>
      </c>
      <c r="K1361" t="str">
        <f>RIGHT(Tabla2[[#This Row],[codigo_producto]],LEN(Tabla2[[#This Row],[codigo_producto]])-FIND("/",Tabla2[[#This Row],[codigo_producto]]))</f>
        <v>8104400CJ08XA</v>
      </c>
      <c r="L1361" t="str">
        <f>LEFT(Tabla2[[#This Row],[codigo_producto]],FIND("/",Tabla2[[#This Row],[codigo_producto]])-1)</f>
        <v>5</v>
      </c>
      <c r="M136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62" spans="1:13" x14ac:dyDescent="0.25">
      <c r="A1362" t="s">
        <v>4178</v>
      </c>
      <c r="B1362" t="s">
        <v>1799</v>
      </c>
      <c r="C1362" t="s">
        <v>1799</v>
      </c>
      <c r="D1362">
        <v>32</v>
      </c>
      <c r="E1362">
        <v>3</v>
      </c>
      <c r="F1362">
        <v>9</v>
      </c>
      <c r="G1362">
        <v>12</v>
      </c>
      <c r="H1362" t="s">
        <v>2814</v>
      </c>
      <c r="I136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62" t="s">
        <v>1367</v>
      </c>
      <c r="K1362" t="str">
        <f>RIGHT(Tabla2[[#This Row],[codigo_producto]],LEN(Tabla2[[#This Row],[codigo_producto]])-FIND("/",Tabla2[[#This Row],[codigo_producto]]))</f>
        <v>8104400XKY28B</v>
      </c>
      <c r="L1362" t="str">
        <f>LEFT(Tabla2[[#This Row],[codigo_producto]],FIND("/",Tabla2[[#This Row],[codigo_producto]])-1)</f>
        <v>5</v>
      </c>
      <c r="M136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63" spans="1:13" x14ac:dyDescent="0.25">
      <c r="A1363" t="s">
        <v>4179</v>
      </c>
      <c r="B1363" t="s">
        <v>1799</v>
      </c>
      <c r="C1363" t="s">
        <v>1799</v>
      </c>
      <c r="D1363">
        <v>32</v>
      </c>
      <c r="E1363">
        <v>3</v>
      </c>
      <c r="F1363">
        <v>9</v>
      </c>
      <c r="G1363">
        <v>12</v>
      </c>
      <c r="H1363" t="s">
        <v>2814</v>
      </c>
      <c r="I136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63" t="s">
        <v>1368</v>
      </c>
      <c r="K1363" t="str">
        <f>RIGHT(Tabla2[[#This Row],[codigo_producto]],LEN(Tabla2[[#This Row],[codigo_producto]])-FIND("/",Tabla2[[#This Row],[codigo_producto]]))</f>
        <v>8104400XKZ16A</v>
      </c>
      <c r="L1363" t="str">
        <f>LEFT(Tabla2[[#This Row],[codigo_producto]],FIND("/",Tabla2[[#This Row],[codigo_producto]])-1)</f>
        <v>5</v>
      </c>
      <c r="M136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64" spans="1:13" x14ac:dyDescent="0.25">
      <c r="A1364" t="s">
        <v>4180</v>
      </c>
      <c r="B1364" t="s">
        <v>1799</v>
      </c>
      <c r="C1364" t="s">
        <v>1799</v>
      </c>
      <c r="D1364">
        <v>31</v>
      </c>
      <c r="E1364">
        <v>3</v>
      </c>
      <c r="F1364">
        <v>9</v>
      </c>
      <c r="G1364">
        <v>12</v>
      </c>
      <c r="H1364" t="s">
        <v>2818</v>
      </c>
      <c r="I136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364" t="s">
        <v>1369</v>
      </c>
      <c r="K1364" t="str">
        <f>RIGHT(Tabla2[[#This Row],[codigo_producto]],LEN(Tabla2[[#This Row],[codigo_producto]])-FIND("/",Tabla2[[#This Row],[codigo_producto]]))</f>
        <v>8104400XKZ96A</v>
      </c>
      <c r="L1364" t="str">
        <f>LEFT(Tabla2[[#This Row],[codigo_producto]],FIND("/",Tabla2[[#This Row],[codigo_producto]])-1)</f>
        <v>5</v>
      </c>
      <c r="M136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65" spans="1:13" x14ac:dyDescent="0.25">
      <c r="A1365" t="s">
        <v>4181</v>
      </c>
      <c r="B1365" t="s">
        <v>1799</v>
      </c>
      <c r="C1365" t="s">
        <v>1799</v>
      </c>
      <c r="D1365">
        <v>32</v>
      </c>
      <c r="E1365">
        <v>3</v>
      </c>
      <c r="F1365">
        <v>9</v>
      </c>
      <c r="G1365">
        <v>12</v>
      </c>
      <c r="H1365" t="s">
        <v>2814</v>
      </c>
      <c r="I136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65" t="s">
        <v>1370</v>
      </c>
      <c r="K1365" t="str">
        <f>RIGHT(Tabla2[[#This Row],[codigo_producto]],LEN(Tabla2[[#This Row],[codigo_producto]])-FIND("/",Tabla2[[#This Row],[codigo_producto]]))</f>
        <v>8104510AS56XA</v>
      </c>
      <c r="L1365" t="str">
        <f>LEFT(Tabla2[[#This Row],[codigo_producto]],FIND("/",Tabla2[[#This Row],[codigo_producto]])-1)</f>
        <v>5</v>
      </c>
      <c r="M136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66" spans="1:13" x14ac:dyDescent="0.25">
      <c r="A1366" t="s">
        <v>4182</v>
      </c>
      <c r="B1366" t="s">
        <v>2636</v>
      </c>
      <c r="C1366" t="s">
        <v>2636</v>
      </c>
      <c r="D1366">
        <v>32</v>
      </c>
      <c r="E1366">
        <v>3</v>
      </c>
      <c r="F1366">
        <v>9</v>
      </c>
      <c r="G1366">
        <v>12</v>
      </c>
      <c r="H1366" t="s">
        <v>2814</v>
      </c>
      <c r="I136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66" t="s">
        <v>1371</v>
      </c>
      <c r="K1366" t="str">
        <f>RIGHT(Tabla2[[#This Row],[codigo_producto]],LEN(Tabla2[[#This Row],[codigo_producto]])-FIND("/",Tabla2[[#This Row],[codigo_producto]]))</f>
        <v>8505300XPW01A</v>
      </c>
      <c r="L1366" t="str">
        <f>LEFT(Tabla2[[#This Row],[codigo_producto]],FIND("/",Tabla2[[#This Row],[codigo_producto]])-1)</f>
        <v>5</v>
      </c>
      <c r="M136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67" spans="1:13" x14ac:dyDescent="0.25">
      <c r="A1367" t="s">
        <v>4183</v>
      </c>
      <c r="B1367" t="s">
        <v>2637</v>
      </c>
      <c r="C1367" t="s">
        <v>2637</v>
      </c>
      <c r="D1367">
        <v>22</v>
      </c>
      <c r="E1367">
        <v>3</v>
      </c>
      <c r="F1367">
        <v>9</v>
      </c>
      <c r="G1367">
        <v>12</v>
      </c>
      <c r="H1367" t="s">
        <v>2815</v>
      </c>
      <c r="I136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1367" t="s">
        <v>1372</v>
      </c>
      <c r="K1367" t="str">
        <f>RIGHT(Tabla2[[#This Row],[codigo_producto]],LEN(Tabla2[[#This Row],[codigo_producto]])-FIND("/",Tabla2[[#This Row],[codigo_producto]]))</f>
        <v>KITSEGWINGLE7</v>
      </c>
      <c r="L1367" t="str">
        <f>LEFT(Tabla2[[#This Row],[codigo_producto]],FIND("/",Tabla2[[#This Row],[codigo_producto]])-1)</f>
        <v>5</v>
      </c>
      <c r="M136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68" spans="1:13" x14ac:dyDescent="0.25">
      <c r="A1368" t="s">
        <v>4184</v>
      </c>
      <c r="B1368" t="s">
        <v>2638</v>
      </c>
      <c r="C1368" t="s">
        <v>2638</v>
      </c>
      <c r="D1368">
        <v>22</v>
      </c>
      <c r="E1368">
        <v>3</v>
      </c>
      <c r="F1368">
        <v>9</v>
      </c>
      <c r="G1368">
        <v>12</v>
      </c>
      <c r="H1368" t="s">
        <v>2815</v>
      </c>
      <c r="I136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1368" t="s">
        <v>1373</v>
      </c>
      <c r="K1368" t="str">
        <f>RIGHT(Tabla2[[#This Row],[codigo_producto]],LEN(Tabla2[[#This Row],[codigo_producto]])-FIND("/",Tabla2[[#This Row],[codigo_producto]]))</f>
        <v>PROTTOLVAPOER</v>
      </c>
      <c r="L1368" t="str">
        <f>LEFT(Tabla2[[#This Row],[codigo_producto]],FIND("/",Tabla2[[#This Row],[codigo_producto]])-1)</f>
        <v>5</v>
      </c>
      <c r="M136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69" spans="1:13" x14ac:dyDescent="0.25">
      <c r="A1369" t="s">
        <v>4185</v>
      </c>
      <c r="B1369" t="s">
        <v>2639</v>
      </c>
      <c r="C1369" t="s">
        <v>2639</v>
      </c>
      <c r="D1369">
        <v>32</v>
      </c>
      <c r="E1369">
        <v>3</v>
      </c>
      <c r="F1369">
        <v>9</v>
      </c>
      <c r="G1369">
        <v>12</v>
      </c>
      <c r="H1369" t="s">
        <v>2814</v>
      </c>
      <c r="I136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69" t="s">
        <v>1374</v>
      </c>
      <c r="K1369" t="str">
        <f>RIGHT(Tabla2[[#This Row],[codigo_producto]],LEN(Tabla2[[#This Row],[codigo_producto]])-FIND("/",Tabla2[[#This Row],[codigo_producto]]))</f>
        <v>ZM001M1702010</v>
      </c>
      <c r="L1369" t="str">
        <f>LEFT(Tabla2[[#This Row],[codigo_producto]],FIND("/",Tabla2[[#This Row],[codigo_producto]])-1)</f>
        <v>5</v>
      </c>
      <c r="M136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70" spans="1:13" x14ac:dyDescent="0.25">
      <c r="A1370" t="s">
        <v>3719</v>
      </c>
      <c r="B1370" t="s">
        <v>1839</v>
      </c>
      <c r="C1370" t="s">
        <v>1839</v>
      </c>
      <c r="D1370">
        <v>32</v>
      </c>
      <c r="E1370">
        <v>4</v>
      </c>
      <c r="F1370">
        <v>9</v>
      </c>
      <c r="G1370">
        <v>12</v>
      </c>
      <c r="H1370" t="s">
        <v>2814</v>
      </c>
      <c r="I137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70" t="s">
        <v>1375</v>
      </c>
      <c r="K1370" t="str">
        <f>RIGHT(Tabla2[[#This Row],[codigo_producto]],LEN(Tabla2[[#This Row],[codigo_producto]])-FIND("/",Tabla2[[#This Row],[codigo_producto]]))</f>
        <v>3707100XEN01</v>
      </c>
      <c r="L1370" t="str">
        <f>LEFT(Tabla2[[#This Row],[codigo_producto]],FIND("/",Tabla2[[#This Row],[codigo_producto]])-1)</f>
        <v>58</v>
      </c>
      <c r="M137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4</v>
      </c>
    </row>
    <row r="1371" spans="1:13" x14ac:dyDescent="0.25">
      <c r="A1371" t="s">
        <v>4186</v>
      </c>
      <c r="B1371" t="s">
        <v>2640</v>
      </c>
      <c r="C1371" t="s">
        <v>2640</v>
      </c>
      <c r="D1371">
        <v>32</v>
      </c>
      <c r="E1371">
        <v>2</v>
      </c>
      <c r="F1371">
        <v>9</v>
      </c>
      <c r="G1371">
        <v>12</v>
      </c>
      <c r="H1371" t="s">
        <v>2814</v>
      </c>
      <c r="I137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71" t="s">
        <v>1376</v>
      </c>
      <c r="K1371" t="str">
        <f>RIGHT(Tabla2[[#This Row],[codigo_producto]],LEN(Tabla2[[#This Row],[codigo_producto]])-FIND("/",Tabla2[[#This Row],[codigo_producto]]))</f>
        <v>KITSEGJUMPER</v>
      </c>
      <c r="L1371" t="str">
        <f>LEFT(Tabla2[[#This Row],[codigo_producto]],FIND("/",Tabla2[[#This Row],[codigo_producto]])-1)</f>
        <v>59</v>
      </c>
      <c r="M137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1372" spans="1:13" x14ac:dyDescent="0.25">
      <c r="A1372" t="s">
        <v>4187</v>
      </c>
      <c r="B1372" t="s">
        <v>1714</v>
      </c>
      <c r="C1372" t="s">
        <v>1714</v>
      </c>
      <c r="D1372">
        <v>32</v>
      </c>
      <c r="E1372">
        <v>1</v>
      </c>
      <c r="F1372">
        <v>9</v>
      </c>
      <c r="G1372">
        <v>12</v>
      </c>
      <c r="H1372" t="s">
        <v>2814</v>
      </c>
      <c r="I137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72" t="s">
        <v>1377</v>
      </c>
      <c r="K1372" t="str">
        <f>RIGHT(Tabla2[[#This Row],[codigo_producto]],LEN(Tabla2[[#This Row],[codigo_producto]])-FIND("/",Tabla2[[#This Row],[codigo_producto]]))</f>
        <v>G1010170104A1</v>
      </c>
      <c r="L1372" t="str">
        <f>LEFT(Tabla2[[#This Row],[codigo_producto]],FIND("/",Tabla2[[#This Row],[codigo_producto]])-1)</f>
        <v>6</v>
      </c>
      <c r="M137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373" spans="1:13" x14ac:dyDescent="0.25">
      <c r="A1373" t="s">
        <v>4188</v>
      </c>
      <c r="B1373" t="s">
        <v>2641</v>
      </c>
      <c r="C1373" t="s">
        <v>2641</v>
      </c>
      <c r="D1373">
        <v>32</v>
      </c>
      <c r="E1373">
        <v>1</v>
      </c>
      <c r="F1373">
        <v>9</v>
      </c>
      <c r="G1373">
        <v>12</v>
      </c>
      <c r="H1373" t="s">
        <v>2814</v>
      </c>
      <c r="I137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73" t="s">
        <v>1378</v>
      </c>
      <c r="K1373" t="str">
        <f>RIGHT(Tabla2[[#This Row],[codigo_producto]],LEN(Tabla2[[#This Row],[codigo_producto]])-FIND("/",Tabla2[[#This Row],[codigo_producto]]))</f>
        <v>G1010270100B1</v>
      </c>
      <c r="L1373" t="str">
        <f>LEFT(Tabla2[[#This Row],[codigo_producto]],FIND("/",Tabla2[[#This Row],[codigo_producto]])-1)</f>
        <v>6</v>
      </c>
      <c r="M137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374" spans="1:13" x14ac:dyDescent="0.25">
      <c r="A1374" t="s">
        <v>4189</v>
      </c>
      <c r="B1374" t="s">
        <v>2146</v>
      </c>
      <c r="C1374" t="s">
        <v>2146</v>
      </c>
      <c r="D1374">
        <v>32</v>
      </c>
      <c r="E1374">
        <v>1</v>
      </c>
      <c r="F1374">
        <v>9</v>
      </c>
      <c r="G1374">
        <v>12</v>
      </c>
      <c r="H1374" t="s">
        <v>2814</v>
      </c>
      <c r="I137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74" t="s">
        <v>1379</v>
      </c>
      <c r="K1374" t="str">
        <f>RIGHT(Tabla2[[#This Row],[codigo_producto]],LEN(Tabla2[[#This Row],[codigo_producto]])-FIND("/",Tabla2[[#This Row],[codigo_producto]]))</f>
        <v>G2010740700A1</v>
      </c>
      <c r="L1374" t="str">
        <f>LEFT(Tabla2[[#This Row],[codigo_producto]],FIND("/",Tabla2[[#This Row],[codigo_producto]])-1)</f>
        <v>6</v>
      </c>
      <c r="M137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375" spans="1:13" x14ac:dyDescent="0.25">
      <c r="A1375" t="s">
        <v>4190</v>
      </c>
      <c r="B1375" t="s">
        <v>2642</v>
      </c>
      <c r="C1375" t="s">
        <v>2642</v>
      </c>
      <c r="D1375">
        <v>32</v>
      </c>
      <c r="E1375">
        <v>1</v>
      </c>
      <c r="F1375">
        <v>9</v>
      </c>
      <c r="G1375">
        <v>12</v>
      </c>
      <c r="H1375" t="s">
        <v>2814</v>
      </c>
      <c r="I137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75" t="s">
        <v>1380</v>
      </c>
      <c r="K1375" t="str">
        <f>RIGHT(Tabla2[[#This Row],[codigo_producto]],LEN(Tabla2[[#This Row],[codigo_producto]])-FIND("/",Tabla2[[#This Row],[codigo_producto]]))</f>
        <v>H15T0120200AK</v>
      </c>
      <c r="L1375" t="str">
        <f>LEFT(Tabla2[[#This Row],[codigo_producto]],FIND("/",Tabla2[[#This Row],[codigo_producto]])-1)</f>
        <v>6</v>
      </c>
      <c r="M137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376" spans="1:13" x14ac:dyDescent="0.25">
      <c r="A1376" t="s">
        <v>4191</v>
      </c>
      <c r="B1376" t="s">
        <v>2643</v>
      </c>
      <c r="C1376" t="s">
        <v>2643</v>
      </c>
      <c r="D1376">
        <v>32</v>
      </c>
      <c r="E1376">
        <v>1</v>
      </c>
      <c r="F1376">
        <v>9</v>
      </c>
      <c r="G1376">
        <v>12</v>
      </c>
      <c r="H1376" t="s">
        <v>2814</v>
      </c>
      <c r="I137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76" t="s">
        <v>1381</v>
      </c>
      <c r="K1376" t="str">
        <f>RIGHT(Tabla2[[#This Row],[codigo_producto]],LEN(Tabla2[[#This Row],[codigo_producto]])-FIND("/",Tabla2[[#This Row],[codigo_producto]]))</f>
        <v>R1010572202AC</v>
      </c>
      <c r="L1376" t="str">
        <f>LEFT(Tabla2[[#This Row],[codigo_producto]],FIND("/",Tabla2[[#This Row],[codigo_producto]])-1)</f>
        <v>6</v>
      </c>
      <c r="M137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377" spans="1:13" x14ac:dyDescent="0.25">
      <c r="A1377" t="s">
        <v>4192</v>
      </c>
      <c r="B1377" t="s">
        <v>2272</v>
      </c>
      <c r="C1377" t="s">
        <v>2272</v>
      </c>
      <c r="D1377">
        <v>32</v>
      </c>
      <c r="E1377">
        <v>1</v>
      </c>
      <c r="F1377">
        <v>9</v>
      </c>
      <c r="G1377">
        <v>12</v>
      </c>
      <c r="H1377" t="s">
        <v>2814</v>
      </c>
      <c r="I137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77" t="s">
        <v>1382</v>
      </c>
      <c r="K1377" t="str">
        <f>RIGHT(Tabla2[[#This Row],[codigo_producto]],LEN(Tabla2[[#This Row],[codigo_producto]])-FIND("/",Tabla2[[#This Row],[codigo_producto]]))</f>
        <v>S1010630404AA</v>
      </c>
      <c r="L1377" t="str">
        <f>LEFT(Tabla2[[#This Row],[codigo_producto]],FIND("/",Tabla2[[#This Row],[codigo_producto]])-1)</f>
        <v>6</v>
      </c>
      <c r="M137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378" spans="1:13" x14ac:dyDescent="0.25">
      <c r="A1378" t="s">
        <v>4193</v>
      </c>
      <c r="B1378" t="s">
        <v>2273</v>
      </c>
      <c r="C1378" t="s">
        <v>2273</v>
      </c>
      <c r="D1378">
        <v>32</v>
      </c>
      <c r="E1378">
        <v>1</v>
      </c>
      <c r="F1378">
        <v>9</v>
      </c>
      <c r="G1378">
        <v>12</v>
      </c>
      <c r="H1378" t="s">
        <v>2814</v>
      </c>
      <c r="I137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78" t="s">
        <v>1383</v>
      </c>
      <c r="K1378" t="str">
        <f>RIGHT(Tabla2[[#This Row],[codigo_producto]],LEN(Tabla2[[#This Row],[codigo_producto]])-FIND("/",Tabla2[[#This Row],[codigo_producto]]))</f>
        <v>S1010630406AA</v>
      </c>
      <c r="L1378" t="str">
        <f>LEFT(Tabla2[[#This Row],[codigo_producto]],FIND("/",Tabla2[[#This Row],[codigo_producto]])-1)</f>
        <v>6</v>
      </c>
      <c r="M137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379" spans="1:13" x14ac:dyDescent="0.25">
      <c r="A1379" t="s">
        <v>4194</v>
      </c>
      <c r="B1379" t="s">
        <v>2644</v>
      </c>
      <c r="C1379" t="s">
        <v>2644</v>
      </c>
      <c r="D1379">
        <v>32</v>
      </c>
      <c r="E1379">
        <v>1</v>
      </c>
      <c r="F1379">
        <v>9</v>
      </c>
      <c r="G1379">
        <v>12</v>
      </c>
      <c r="H1379" t="s">
        <v>2814</v>
      </c>
      <c r="I137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79" t="s">
        <v>1384</v>
      </c>
      <c r="K1379" t="str">
        <f>RIGHT(Tabla2[[#This Row],[codigo_producto]],LEN(Tabla2[[#This Row],[codigo_producto]])-FIND("/",Tabla2[[#This Row],[codigo_producto]]))</f>
        <v>S1011240701BB</v>
      </c>
      <c r="L1379" t="str">
        <f>LEFT(Tabla2[[#This Row],[codigo_producto]],FIND("/",Tabla2[[#This Row],[codigo_producto]])-1)</f>
        <v>6</v>
      </c>
      <c r="M137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380" spans="1:13" x14ac:dyDescent="0.25">
      <c r="A1380" t="s">
        <v>4195</v>
      </c>
      <c r="B1380" t="s">
        <v>2645</v>
      </c>
      <c r="C1380" t="s">
        <v>2645</v>
      </c>
      <c r="D1380">
        <v>29</v>
      </c>
      <c r="E1380">
        <v>1</v>
      </c>
      <c r="F1380">
        <v>9</v>
      </c>
      <c r="G1380">
        <v>12</v>
      </c>
      <c r="H1380" t="s">
        <v>2817</v>
      </c>
      <c r="I138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29</v>
      </c>
      <c r="J1380" t="s">
        <v>1385</v>
      </c>
      <c r="K1380" t="str">
        <f>RIGHT(Tabla2[[#This Row],[codigo_producto]],LEN(Tabla2[[#This Row],[codigo_producto]])-FIND("/",Tabla2[[#This Row],[codigo_producto]]))</f>
        <v>TANQTOR15GLBI</v>
      </c>
      <c r="L1380" t="str">
        <f>LEFT(Tabla2[[#This Row],[codigo_producto]],FIND("/",Tabla2[[#This Row],[codigo_producto]])-1)</f>
        <v>6</v>
      </c>
      <c r="M138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381" spans="1:13" x14ac:dyDescent="0.25">
      <c r="A1381" t="s">
        <v>4196</v>
      </c>
      <c r="B1381" t="s">
        <v>2646</v>
      </c>
      <c r="C1381" t="s">
        <v>2646</v>
      </c>
      <c r="D1381">
        <v>32</v>
      </c>
      <c r="E1381">
        <v>1</v>
      </c>
      <c r="F1381">
        <v>9</v>
      </c>
      <c r="G1381">
        <v>12</v>
      </c>
      <c r="H1381" t="s">
        <v>2814</v>
      </c>
      <c r="I138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81" t="s">
        <v>1386</v>
      </c>
      <c r="K1381" t="str">
        <f>RIGHT(Tabla2[[#This Row],[codigo_producto]],LEN(Tabla2[[#This Row],[codigo_producto]])-FIND("/",Tabla2[[#This Row],[codigo_producto]]))</f>
        <v>WBB3110980810</v>
      </c>
      <c r="L1381" t="str">
        <f>LEFT(Tabla2[[#This Row],[codigo_producto]],FIND("/",Tabla2[[#This Row],[codigo_producto]])-1)</f>
        <v>6</v>
      </c>
      <c r="M138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382" spans="1:13" x14ac:dyDescent="0.25">
      <c r="A1382" t="s">
        <v>4197</v>
      </c>
      <c r="B1382" t="s">
        <v>1839</v>
      </c>
      <c r="C1382" t="s">
        <v>1839</v>
      </c>
      <c r="D1382">
        <v>32</v>
      </c>
      <c r="E1382">
        <v>5</v>
      </c>
      <c r="F1382">
        <v>9</v>
      </c>
      <c r="G1382">
        <v>12</v>
      </c>
      <c r="H1382" t="s">
        <v>2814</v>
      </c>
      <c r="I138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82" t="s">
        <v>1387</v>
      </c>
      <c r="K1382" t="str">
        <f>RIGHT(Tabla2[[#This Row],[codigo_producto]],LEN(Tabla2[[#This Row],[codigo_producto]])-FIND("/",Tabla2[[#This Row],[codigo_producto]]))</f>
        <v>1026080GH030A</v>
      </c>
      <c r="L1382" t="str">
        <f>LEFT(Tabla2[[#This Row],[codigo_producto]],FIND("/",Tabla2[[#This Row],[codigo_producto]])-1)</f>
        <v>7</v>
      </c>
      <c r="M138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383" spans="1:13" x14ac:dyDescent="0.25">
      <c r="A1383" t="s">
        <v>4198</v>
      </c>
      <c r="B1383" t="s">
        <v>1714</v>
      </c>
      <c r="C1383" t="s">
        <v>1714</v>
      </c>
      <c r="D1383">
        <v>32</v>
      </c>
      <c r="E1383">
        <v>5</v>
      </c>
      <c r="F1383">
        <v>9</v>
      </c>
      <c r="G1383">
        <v>12</v>
      </c>
      <c r="H1383" t="s">
        <v>2814</v>
      </c>
      <c r="I138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83" t="s">
        <v>1388</v>
      </c>
      <c r="K1383" t="str">
        <f>RIGHT(Tabla2[[#This Row],[codigo_producto]],LEN(Tabla2[[#This Row],[codigo_producto]])-FIND("/",Tabla2[[#This Row],[codigo_producto]]))</f>
        <v>1109170LG010L</v>
      </c>
      <c r="L1383" t="str">
        <f>LEFT(Tabla2[[#This Row],[codigo_producto]],FIND("/",Tabla2[[#This Row],[codigo_producto]])-1)</f>
        <v>7</v>
      </c>
      <c r="M138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384" spans="1:13" x14ac:dyDescent="0.25">
      <c r="A1384" t="s">
        <v>4199</v>
      </c>
      <c r="B1384" t="s">
        <v>2065</v>
      </c>
      <c r="C1384" t="s">
        <v>2065</v>
      </c>
      <c r="D1384">
        <v>32</v>
      </c>
      <c r="E1384">
        <v>5</v>
      </c>
      <c r="F1384">
        <v>9</v>
      </c>
      <c r="G1384">
        <v>12</v>
      </c>
      <c r="H1384" t="s">
        <v>2814</v>
      </c>
      <c r="I138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84" t="s">
        <v>1389</v>
      </c>
      <c r="K1384" t="str">
        <f>RIGHT(Tabla2[[#This Row],[codigo_producto]],LEN(Tabla2[[#This Row],[codigo_producto]])-FIND("/",Tabla2[[#This Row],[codigo_producto]]))</f>
        <v>12442-0520F71</v>
      </c>
      <c r="L1384" t="str">
        <f>LEFT(Tabla2[[#This Row],[codigo_producto]],FIND("/",Tabla2[[#This Row],[codigo_producto]])-1)</f>
        <v>7</v>
      </c>
      <c r="M138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385" spans="1:13" x14ac:dyDescent="0.25">
      <c r="A1385" t="s">
        <v>4200</v>
      </c>
      <c r="B1385" t="s">
        <v>2647</v>
      </c>
      <c r="C1385" t="s">
        <v>2647</v>
      </c>
      <c r="D1385">
        <v>22</v>
      </c>
      <c r="E1385">
        <v>5</v>
      </c>
      <c r="F1385">
        <v>9</v>
      </c>
      <c r="G1385">
        <v>12</v>
      </c>
      <c r="H1385" t="s">
        <v>2815</v>
      </c>
      <c r="I138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1385" t="s">
        <v>1390</v>
      </c>
      <c r="K1385" t="str">
        <f>RIGHT(Tabla2[[#This Row],[codigo_producto]],LEN(Tabla2[[#This Row],[codigo_producto]])-FIND("/",Tabla2[[#This Row],[codigo_producto]]))</f>
        <v>1303010P3060Z</v>
      </c>
      <c r="L1385" t="str">
        <f>LEFT(Tabla2[[#This Row],[codigo_producto]],FIND("/",Tabla2[[#This Row],[codigo_producto]])-1)</f>
        <v>7</v>
      </c>
      <c r="M138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386" spans="1:13" x14ac:dyDescent="0.25">
      <c r="A1386" t="s">
        <v>4201</v>
      </c>
      <c r="B1386" t="s">
        <v>2648</v>
      </c>
      <c r="C1386" t="s">
        <v>2648</v>
      </c>
      <c r="D1386">
        <v>32</v>
      </c>
      <c r="E1386">
        <v>5</v>
      </c>
      <c r="F1386">
        <v>9</v>
      </c>
      <c r="G1386">
        <v>12</v>
      </c>
      <c r="H1386" t="s">
        <v>2814</v>
      </c>
      <c r="I138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86" t="s">
        <v>1391</v>
      </c>
      <c r="K1386" t="str">
        <f>RIGHT(Tabla2[[#This Row],[codigo_producto]],LEN(Tabla2[[#This Row],[codigo_producto]])-FIND("/",Tabla2[[#This Row],[codigo_producto]]))</f>
        <v>1600100P306AZ</v>
      </c>
      <c r="L1386" t="str">
        <f>LEFT(Tabla2[[#This Row],[codigo_producto]],FIND("/",Tabla2[[#This Row],[codigo_producto]])-1)</f>
        <v>7</v>
      </c>
      <c r="M138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387" spans="1:13" x14ac:dyDescent="0.25">
      <c r="A1387" t="s">
        <v>4202</v>
      </c>
      <c r="B1387" t="s">
        <v>2649</v>
      </c>
      <c r="C1387" t="s">
        <v>2649</v>
      </c>
      <c r="D1387">
        <v>32</v>
      </c>
      <c r="E1387">
        <v>5</v>
      </c>
      <c r="F1387">
        <v>9</v>
      </c>
      <c r="G1387">
        <v>12</v>
      </c>
      <c r="H1387" t="s">
        <v>2814</v>
      </c>
      <c r="I138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87" t="s">
        <v>1392</v>
      </c>
      <c r="K1387" t="str">
        <f>RIGHT(Tabla2[[#This Row],[codigo_producto]],LEN(Tabla2[[#This Row],[codigo_producto]])-FIND("/",Tabla2[[#This Row],[codigo_producto]]))</f>
        <v>3504020P3031N</v>
      </c>
      <c r="L1387" t="str">
        <f>LEFT(Tabla2[[#This Row],[codigo_producto]],FIND("/",Tabla2[[#This Row],[codigo_producto]])-1)</f>
        <v>7</v>
      </c>
      <c r="M138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388" spans="1:13" x14ac:dyDescent="0.25">
      <c r="A1388" t="s">
        <v>4203</v>
      </c>
      <c r="B1388" t="s">
        <v>2650</v>
      </c>
      <c r="C1388" t="s">
        <v>2650</v>
      </c>
      <c r="D1388">
        <v>32</v>
      </c>
      <c r="E1388">
        <v>5</v>
      </c>
      <c r="F1388">
        <v>9</v>
      </c>
      <c r="G1388">
        <v>12</v>
      </c>
      <c r="H1388" t="s">
        <v>2814</v>
      </c>
      <c r="I138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88" t="s">
        <v>1393</v>
      </c>
      <c r="K1388" t="str">
        <f>RIGHT(Tabla2[[#This Row],[codigo_producto]],LEN(Tabla2[[#This Row],[codigo_producto]])-FIND("/",Tabla2[[#This Row],[codigo_producto]]))</f>
        <v>3504050P3031N</v>
      </c>
      <c r="L1388" t="str">
        <f>LEFT(Tabla2[[#This Row],[codigo_producto]],FIND("/",Tabla2[[#This Row],[codigo_producto]])-1)</f>
        <v>7</v>
      </c>
      <c r="M138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389" spans="1:13" x14ac:dyDescent="0.25">
      <c r="A1389" t="s">
        <v>4204</v>
      </c>
      <c r="B1389" t="s">
        <v>2651</v>
      </c>
      <c r="C1389" t="s">
        <v>2651</v>
      </c>
      <c r="D1389">
        <v>32</v>
      </c>
      <c r="E1389">
        <v>5</v>
      </c>
      <c r="F1389">
        <v>9</v>
      </c>
      <c r="G1389">
        <v>12</v>
      </c>
      <c r="H1389" t="s">
        <v>2814</v>
      </c>
      <c r="I138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89" t="s">
        <v>1394</v>
      </c>
      <c r="K1389" t="str">
        <f>RIGHT(Tabla2[[#This Row],[codigo_producto]],LEN(Tabla2[[#This Row],[codigo_producto]])-FIND("/",Tabla2[[#This Row],[codigo_producto]]))</f>
        <v>3504300P3031N</v>
      </c>
      <c r="L1389" t="str">
        <f>LEFT(Tabla2[[#This Row],[codigo_producto]],FIND("/",Tabla2[[#This Row],[codigo_producto]])-1)</f>
        <v>7</v>
      </c>
      <c r="M138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390" spans="1:13" x14ac:dyDescent="0.25">
      <c r="A1390" t="s">
        <v>4205</v>
      </c>
      <c r="B1390" t="s">
        <v>2652</v>
      </c>
      <c r="C1390" t="s">
        <v>2652</v>
      </c>
      <c r="D1390">
        <v>32</v>
      </c>
      <c r="E1390">
        <v>5</v>
      </c>
      <c r="F1390">
        <v>9</v>
      </c>
      <c r="G1390">
        <v>12</v>
      </c>
      <c r="H1390" t="s">
        <v>2814</v>
      </c>
      <c r="I139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90" t="s">
        <v>1395</v>
      </c>
      <c r="K1390" t="str">
        <f>RIGHT(Tabla2[[#This Row],[codigo_producto]],LEN(Tabla2[[#This Row],[codigo_producto]])-FIND("/",Tabla2[[#This Row],[codigo_producto]]))</f>
        <v>3774200U1532A</v>
      </c>
      <c r="L1390" t="str">
        <f>LEFT(Tabla2[[#This Row],[codigo_producto]],FIND("/",Tabla2[[#This Row],[codigo_producto]])-1)</f>
        <v>7</v>
      </c>
      <c r="M139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391" spans="1:13" x14ac:dyDescent="0.25">
      <c r="A1391" t="s">
        <v>4206</v>
      </c>
      <c r="B1391" t="s">
        <v>2653</v>
      </c>
      <c r="C1391" t="s">
        <v>2653</v>
      </c>
      <c r="D1391">
        <v>32</v>
      </c>
      <c r="E1391">
        <v>5</v>
      </c>
      <c r="F1391">
        <v>9</v>
      </c>
      <c r="G1391">
        <v>12</v>
      </c>
      <c r="H1391" t="s">
        <v>2814</v>
      </c>
      <c r="I139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91" t="s">
        <v>1396</v>
      </c>
      <c r="K1391" t="str">
        <f>RIGHT(Tabla2[[#This Row],[codigo_producto]],LEN(Tabla2[[#This Row],[codigo_producto]])-FIND("/",Tabla2[[#This Row],[codigo_producto]]))</f>
        <v>5205060P3010K</v>
      </c>
      <c r="L1391" t="str">
        <f>LEFT(Tabla2[[#This Row],[codigo_producto]],FIND("/",Tabla2[[#This Row],[codigo_producto]])-1)</f>
        <v>7</v>
      </c>
      <c r="M139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392" spans="1:13" x14ac:dyDescent="0.25">
      <c r="A1392" t="s">
        <v>4207</v>
      </c>
      <c r="B1392" t="s">
        <v>2654</v>
      </c>
      <c r="C1392" t="s">
        <v>2654</v>
      </c>
      <c r="D1392">
        <v>32</v>
      </c>
      <c r="E1392">
        <v>5</v>
      </c>
      <c r="F1392">
        <v>9</v>
      </c>
      <c r="G1392">
        <v>12</v>
      </c>
      <c r="H1392" t="s">
        <v>2814</v>
      </c>
      <c r="I139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92" t="s">
        <v>1397</v>
      </c>
      <c r="K1392" t="str">
        <f>RIGHT(Tabla2[[#This Row],[codigo_producto]],LEN(Tabla2[[#This Row],[codigo_producto]])-FIND("/",Tabla2[[#This Row],[codigo_producto]]))</f>
        <v>5205070P3010K</v>
      </c>
      <c r="L1392" t="str">
        <f>LEFT(Tabla2[[#This Row],[codigo_producto]],FIND("/",Tabla2[[#This Row],[codigo_producto]])-1)</f>
        <v>7</v>
      </c>
      <c r="M139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393" spans="1:13" x14ac:dyDescent="0.25">
      <c r="A1393" t="s">
        <v>4208</v>
      </c>
      <c r="B1393" t="s">
        <v>2033</v>
      </c>
      <c r="C1393" t="s">
        <v>2033</v>
      </c>
      <c r="D1393">
        <v>32</v>
      </c>
      <c r="E1393">
        <v>5</v>
      </c>
      <c r="F1393">
        <v>9</v>
      </c>
      <c r="G1393">
        <v>12</v>
      </c>
      <c r="H1393" t="s">
        <v>2814</v>
      </c>
      <c r="I139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93" t="s">
        <v>1398</v>
      </c>
      <c r="K1393" t="str">
        <f>RIGHT(Tabla2[[#This Row],[codigo_producto]],LEN(Tabla2[[#This Row],[codigo_producto]])-FIND("/",Tabla2[[#This Row],[codigo_producto]]))</f>
        <v>8104102P306AA</v>
      </c>
      <c r="L1393" t="str">
        <f>LEFT(Tabla2[[#This Row],[codigo_producto]],FIND("/",Tabla2[[#This Row],[codigo_producto]])-1)</f>
        <v>7</v>
      </c>
      <c r="M139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394" spans="1:13" x14ac:dyDescent="0.25">
      <c r="A1394" t="s">
        <v>4209</v>
      </c>
      <c r="B1394" t="s">
        <v>2655</v>
      </c>
      <c r="C1394" t="s">
        <v>2655</v>
      </c>
      <c r="D1394">
        <v>32</v>
      </c>
      <c r="E1394">
        <v>5</v>
      </c>
      <c r="F1394">
        <v>9</v>
      </c>
      <c r="G1394">
        <v>12</v>
      </c>
      <c r="H1394" t="s">
        <v>2814</v>
      </c>
      <c r="I139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94" t="s">
        <v>1399</v>
      </c>
      <c r="K1394" t="str">
        <f>RIGHT(Tabla2[[#This Row],[codigo_producto]],LEN(Tabla2[[#This Row],[codigo_producto]])-FIND("/",Tabla2[[#This Row],[codigo_producto]]))</f>
        <v>916814015-M18</v>
      </c>
      <c r="L1394" t="str">
        <f>LEFT(Tabla2[[#This Row],[codigo_producto]],FIND("/",Tabla2[[#This Row],[codigo_producto]])-1)</f>
        <v>7</v>
      </c>
      <c r="M139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395" spans="1:13" x14ac:dyDescent="0.25">
      <c r="A1395" t="s">
        <v>4210</v>
      </c>
      <c r="B1395" t="s">
        <v>1837</v>
      </c>
      <c r="C1395" t="s">
        <v>1837</v>
      </c>
      <c r="D1395">
        <v>32</v>
      </c>
      <c r="E1395">
        <v>5</v>
      </c>
      <c r="F1395">
        <v>9</v>
      </c>
      <c r="G1395">
        <v>12</v>
      </c>
      <c r="H1395" t="s">
        <v>2814</v>
      </c>
      <c r="I139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95" t="s">
        <v>1400</v>
      </c>
      <c r="K1395" t="str">
        <f>RIGHT(Tabla2[[#This Row],[codigo_producto]],LEN(Tabla2[[#This Row],[codigo_producto]])-FIND("/",Tabla2[[#This Row],[codigo_producto]]))</f>
        <v>E092-C120-B03</v>
      </c>
      <c r="L1395" t="str">
        <f>LEFT(Tabla2[[#This Row],[codigo_producto]],FIND("/",Tabla2[[#This Row],[codigo_producto]])-1)</f>
        <v>7</v>
      </c>
      <c r="M139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396" spans="1:13" x14ac:dyDescent="0.25">
      <c r="A1396" t="s">
        <v>4211</v>
      </c>
      <c r="B1396" t="s">
        <v>2656</v>
      </c>
      <c r="C1396" t="s">
        <v>2656</v>
      </c>
      <c r="D1396">
        <v>22</v>
      </c>
      <c r="E1396">
        <v>5</v>
      </c>
      <c r="F1396">
        <v>9</v>
      </c>
      <c r="G1396">
        <v>12</v>
      </c>
      <c r="H1396" t="s">
        <v>2815</v>
      </c>
      <c r="I139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1396" t="s">
        <v>1401</v>
      </c>
      <c r="K1396" t="str">
        <f>RIGHT(Tabla2[[#This Row],[codigo_producto]],LEN(Tabla2[[#This Row],[codigo_producto]])-FIND("/",Tabla2[[#This Row],[codigo_producto]]))</f>
        <v>KITSEGGRANDS3</v>
      </c>
      <c r="L1396" t="str">
        <f>LEFT(Tabla2[[#This Row],[codigo_producto]],FIND("/",Tabla2[[#This Row],[codigo_producto]])-1)</f>
        <v>7</v>
      </c>
      <c r="M139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397" spans="1:13" x14ac:dyDescent="0.25">
      <c r="A1397" t="s">
        <v>4212</v>
      </c>
      <c r="B1397" t="s">
        <v>2657</v>
      </c>
      <c r="C1397" t="s">
        <v>2657</v>
      </c>
      <c r="D1397">
        <v>32</v>
      </c>
      <c r="E1397">
        <v>8</v>
      </c>
      <c r="F1397">
        <v>9</v>
      </c>
      <c r="G1397">
        <v>12</v>
      </c>
      <c r="H1397" t="s">
        <v>2814</v>
      </c>
      <c r="I139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97" t="s">
        <v>1402</v>
      </c>
      <c r="K1397" t="str">
        <f>RIGHT(Tabla2[[#This Row],[codigo_producto]],LEN(Tabla2[[#This Row],[codigo_producto]])-FIND("/",Tabla2[[#This Row],[codigo_producto]]))</f>
        <v>09409M07356000</v>
      </c>
      <c r="L1397" t="str">
        <f>LEFT(Tabla2[[#This Row],[codigo_producto]],FIND("/",Tabla2[[#This Row],[codigo_producto]])-1)</f>
        <v>1</v>
      </c>
      <c r="M139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398" spans="1:13" x14ac:dyDescent="0.25">
      <c r="A1398" t="s">
        <v>4213</v>
      </c>
      <c r="B1398" t="s">
        <v>1839</v>
      </c>
      <c r="C1398" t="s">
        <v>1839</v>
      </c>
      <c r="D1398">
        <v>32</v>
      </c>
      <c r="E1398">
        <v>8</v>
      </c>
      <c r="F1398">
        <v>9</v>
      </c>
      <c r="G1398">
        <v>12</v>
      </c>
      <c r="H1398" t="s">
        <v>2814</v>
      </c>
      <c r="I139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98" t="s">
        <v>1403</v>
      </c>
      <c r="K1398" t="str">
        <f>RIGHT(Tabla2[[#This Row],[codigo_producto]],LEN(Tabla2[[#This Row],[codigo_producto]])-FIND("/",Tabla2[[#This Row],[codigo_producto]]))</f>
        <v>09482M00609000</v>
      </c>
      <c r="L1398" t="str">
        <f>LEFT(Tabla2[[#This Row],[codigo_producto]],FIND("/",Tabla2[[#This Row],[codigo_producto]])-1)</f>
        <v>1</v>
      </c>
      <c r="M139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399" spans="1:13" x14ac:dyDescent="0.25">
      <c r="A1399" t="s">
        <v>4214</v>
      </c>
      <c r="B1399" t="s">
        <v>2658</v>
      </c>
      <c r="C1399" t="s">
        <v>2658</v>
      </c>
      <c r="D1399">
        <v>32</v>
      </c>
      <c r="E1399">
        <v>8</v>
      </c>
      <c r="F1399">
        <v>9</v>
      </c>
      <c r="G1399">
        <v>12</v>
      </c>
      <c r="H1399" t="s">
        <v>2814</v>
      </c>
      <c r="I139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99" t="s">
        <v>1404</v>
      </c>
      <c r="K1399" t="str">
        <f>RIGHT(Tabla2[[#This Row],[codigo_producto]],LEN(Tabla2[[#This Row],[codigo_producto]])-FIND("/",Tabla2[[#This Row],[codigo_producto]]))</f>
        <v>09482M00636000</v>
      </c>
      <c r="L1399" t="str">
        <f>LEFT(Tabla2[[#This Row],[codigo_producto]],FIND("/",Tabla2[[#This Row],[codigo_producto]])-1)</f>
        <v>1</v>
      </c>
      <c r="M139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00" spans="1:13" x14ac:dyDescent="0.25">
      <c r="A1400" t="s">
        <v>4215</v>
      </c>
      <c r="B1400" t="s">
        <v>2659</v>
      </c>
      <c r="C1400" t="s">
        <v>2659</v>
      </c>
      <c r="D1400">
        <v>32</v>
      </c>
      <c r="E1400">
        <v>8</v>
      </c>
      <c r="F1400">
        <v>9</v>
      </c>
      <c r="G1400">
        <v>12</v>
      </c>
      <c r="H1400" t="s">
        <v>2814</v>
      </c>
      <c r="I140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00" t="s">
        <v>1405</v>
      </c>
      <c r="K1400" t="str">
        <f>RIGHT(Tabla2[[#This Row],[codigo_producto]],LEN(Tabla2[[#This Row],[codigo_producto]])-FIND("/",Tabla2[[#This Row],[codigo_producto]]))</f>
        <v>11198M79F00000</v>
      </c>
      <c r="L1400" t="str">
        <f>LEFT(Tabla2[[#This Row],[codigo_producto]],FIND("/",Tabla2[[#This Row],[codigo_producto]])-1)</f>
        <v>1</v>
      </c>
      <c r="M140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01" spans="1:13" x14ac:dyDescent="0.25">
      <c r="A1401" t="s">
        <v>4216</v>
      </c>
      <c r="B1401" t="s">
        <v>2359</v>
      </c>
      <c r="C1401" t="s">
        <v>2359</v>
      </c>
      <c r="D1401">
        <v>32</v>
      </c>
      <c r="E1401">
        <v>8</v>
      </c>
      <c r="F1401">
        <v>9</v>
      </c>
      <c r="G1401">
        <v>12</v>
      </c>
      <c r="H1401" t="s">
        <v>2814</v>
      </c>
      <c r="I140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01" t="s">
        <v>1406</v>
      </c>
      <c r="K1401" t="str">
        <f>RIGHT(Tabla2[[#This Row],[codigo_producto]],LEN(Tabla2[[#This Row],[codigo_producto]])-FIND("/",Tabla2[[#This Row],[codigo_producto]]))</f>
        <v>12911M84420000</v>
      </c>
      <c r="L1401" t="str">
        <f>LEFT(Tabla2[[#This Row],[codigo_producto]],FIND("/",Tabla2[[#This Row],[codigo_producto]])-1)</f>
        <v>1</v>
      </c>
      <c r="M140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02" spans="1:13" x14ac:dyDescent="0.25">
      <c r="A1402" t="s">
        <v>4217</v>
      </c>
      <c r="B1402" t="s">
        <v>2660</v>
      </c>
      <c r="C1402" t="s">
        <v>2660</v>
      </c>
      <c r="D1402">
        <v>32</v>
      </c>
      <c r="E1402">
        <v>8</v>
      </c>
      <c r="F1402">
        <v>9</v>
      </c>
      <c r="G1402">
        <v>12</v>
      </c>
      <c r="H1402" t="s">
        <v>2814</v>
      </c>
      <c r="I140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02" t="s">
        <v>1407</v>
      </c>
      <c r="K1402" t="str">
        <f>RIGHT(Tabla2[[#This Row],[codigo_producto]],LEN(Tabla2[[#This Row],[codigo_producto]])-FIND("/",Tabla2[[#This Row],[codigo_producto]]))</f>
        <v>12915M84420000</v>
      </c>
      <c r="L1402" t="str">
        <f>LEFT(Tabla2[[#This Row],[codigo_producto]],FIND("/",Tabla2[[#This Row],[codigo_producto]])-1)</f>
        <v>1</v>
      </c>
      <c r="M140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03" spans="1:13" x14ac:dyDescent="0.25">
      <c r="A1403" t="s">
        <v>4218</v>
      </c>
      <c r="B1403" t="s">
        <v>1715</v>
      </c>
      <c r="C1403" t="s">
        <v>1715</v>
      </c>
      <c r="D1403">
        <v>32</v>
      </c>
      <c r="E1403">
        <v>8</v>
      </c>
      <c r="F1403">
        <v>9</v>
      </c>
      <c r="G1403">
        <v>12</v>
      </c>
      <c r="H1403" t="s">
        <v>2814</v>
      </c>
      <c r="I140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03" t="s">
        <v>1408</v>
      </c>
      <c r="K1403" t="str">
        <f>RIGHT(Tabla2[[#This Row],[codigo_producto]],LEN(Tabla2[[#This Row],[codigo_producto]])-FIND("/",Tabla2[[#This Row],[codigo_producto]]))</f>
        <v>13780M53T50000</v>
      </c>
      <c r="L1403" t="str">
        <f>LEFT(Tabla2[[#This Row],[codigo_producto]],FIND("/",Tabla2[[#This Row],[codigo_producto]])-1)</f>
        <v>1</v>
      </c>
      <c r="M140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04" spans="1:13" x14ac:dyDescent="0.25">
      <c r="A1404" t="s">
        <v>4219</v>
      </c>
      <c r="B1404" t="s">
        <v>1715</v>
      </c>
      <c r="C1404" t="s">
        <v>1715</v>
      </c>
      <c r="D1404">
        <v>32</v>
      </c>
      <c r="E1404">
        <v>8</v>
      </c>
      <c r="F1404">
        <v>9</v>
      </c>
      <c r="G1404">
        <v>12</v>
      </c>
      <c r="H1404" t="s">
        <v>2814</v>
      </c>
      <c r="I140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04" t="s">
        <v>1409</v>
      </c>
      <c r="K1404" t="str">
        <f>RIGHT(Tabla2[[#This Row],[codigo_producto]],LEN(Tabla2[[#This Row],[codigo_producto]])-FIND("/",Tabla2[[#This Row],[codigo_producto]]))</f>
        <v>13780M62S00000</v>
      </c>
      <c r="L1404" t="str">
        <f>LEFT(Tabla2[[#This Row],[codigo_producto]],FIND("/",Tabla2[[#This Row],[codigo_producto]])-1)</f>
        <v>1</v>
      </c>
      <c r="M140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05" spans="1:13" x14ac:dyDescent="0.25">
      <c r="A1405" t="s">
        <v>4220</v>
      </c>
      <c r="B1405" t="s">
        <v>1714</v>
      </c>
      <c r="C1405" t="s">
        <v>1714</v>
      </c>
      <c r="D1405">
        <v>32</v>
      </c>
      <c r="E1405">
        <v>8</v>
      </c>
      <c r="F1405">
        <v>9</v>
      </c>
      <c r="G1405">
        <v>12</v>
      </c>
      <c r="H1405" t="s">
        <v>2814</v>
      </c>
      <c r="I140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05" t="s">
        <v>1410</v>
      </c>
      <c r="K1405" t="str">
        <f>RIGHT(Tabla2[[#This Row],[codigo_producto]],LEN(Tabla2[[#This Row],[codigo_producto]])-FIND("/",Tabla2[[#This Row],[codigo_producto]]))</f>
        <v>13780M67L00000</v>
      </c>
      <c r="L1405" t="str">
        <f>LEFT(Tabla2[[#This Row],[codigo_producto]],FIND("/",Tabla2[[#This Row],[codigo_producto]])-1)</f>
        <v>1</v>
      </c>
      <c r="M140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06" spans="1:13" x14ac:dyDescent="0.25">
      <c r="A1406" t="s">
        <v>4221</v>
      </c>
      <c r="B1406" t="s">
        <v>1715</v>
      </c>
      <c r="C1406" t="s">
        <v>1715</v>
      </c>
      <c r="D1406">
        <v>32</v>
      </c>
      <c r="E1406">
        <v>8</v>
      </c>
      <c r="F1406">
        <v>9</v>
      </c>
      <c r="G1406">
        <v>12</v>
      </c>
      <c r="H1406" t="s">
        <v>2814</v>
      </c>
      <c r="I140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06" t="s">
        <v>1411</v>
      </c>
      <c r="K1406" t="str">
        <f>RIGHT(Tabla2[[#This Row],[codigo_producto]],LEN(Tabla2[[#This Row],[codigo_producto]])-FIND("/",Tabla2[[#This Row],[codigo_producto]]))</f>
        <v>13780M68P01000</v>
      </c>
      <c r="L1406" t="str">
        <f>LEFT(Tabla2[[#This Row],[codigo_producto]],FIND("/",Tabla2[[#This Row],[codigo_producto]])-1)</f>
        <v>1</v>
      </c>
      <c r="M140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07" spans="1:13" x14ac:dyDescent="0.25">
      <c r="A1407" t="s">
        <v>4222</v>
      </c>
      <c r="B1407" t="s">
        <v>2661</v>
      </c>
      <c r="C1407" t="s">
        <v>2661</v>
      </c>
      <c r="D1407">
        <v>32</v>
      </c>
      <c r="E1407">
        <v>8</v>
      </c>
      <c r="F1407">
        <v>9</v>
      </c>
      <c r="G1407">
        <v>12</v>
      </c>
      <c r="H1407" t="s">
        <v>2814</v>
      </c>
      <c r="I140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07" t="s">
        <v>1412</v>
      </c>
      <c r="K1407" t="str">
        <f>RIGHT(Tabla2[[#This Row],[codigo_producto]],LEN(Tabla2[[#This Row],[codigo_producto]])-FIND("/",Tabla2[[#This Row],[codigo_producto]]))</f>
        <v>13780M74L00000</v>
      </c>
      <c r="L1407" t="str">
        <f>LEFT(Tabla2[[#This Row],[codigo_producto]],FIND("/",Tabla2[[#This Row],[codigo_producto]])-1)</f>
        <v>1</v>
      </c>
      <c r="M140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08" spans="1:13" x14ac:dyDescent="0.25">
      <c r="A1408" t="s">
        <v>4223</v>
      </c>
      <c r="B1408" t="s">
        <v>1715</v>
      </c>
      <c r="C1408" t="s">
        <v>1715</v>
      </c>
      <c r="D1408">
        <v>32</v>
      </c>
      <c r="E1408">
        <v>8</v>
      </c>
      <c r="F1408">
        <v>9</v>
      </c>
      <c r="G1408">
        <v>12</v>
      </c>
      <c r="H1408" t="s">
        <v>2814</v>
      </c>
      <c r="I140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08" t="s">
        <v>1413</v>
      </c>
      <c r="K1408" t="str">
        <f>RIGHT(Tabla2[[#This Row],[codigo_producto]],LEN(Tabla2[[#This Row],[codigo_producto]])-FIND("/",Tabla2[[#This Row],[codigo_producto]]))</f>
        <v>13780M76SA0000</v>
      </c>
      <c r="L1408" t="str">
        <f>LEFT(Tabla2[[#This Row],[codigo_producto]],FIND("/",Tabla2[[#This Row],[codigo_producto]])-1)</f>
        <v>1</v>
      </c>
      <c r="M140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09" spans="1:13" x14ac:dyDescent="0.25">
      <c r="A1409" t="s">
        <v>4224</v>
      </c>
      <c r="B1409" t="s">
        <v>1715</v>
      </c>
      <c r="C1409" t="s">
        <v>1715</v>
      </c>
      <c r="D1409">
        <v>32</v>
      </c>
      <c r="E1409">
        <v>8</v>
      </c>
      <c r="F1409">
        <v>9</v>
      </c>
      <c r="G1409">
        <v>12</v>
      </c>
      <c r="H1409" t="s">
        <v>2814</v>
      </c>
      <c r="I140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09" t="s">
        <v>1414</v>
      </c>
      <c r="K1409" t="str">
        <f>RIGHT(Tabla2[[#This Row],[codigo_producto]],LEN(Tabla2[[#This Row],[codigo_producto]])-FIND("/",Tabla2[[#This Row],[codigo_producto]]))</f>
        <v>13780M81R10000</v>
      </c>
      <c r="L1409" t="str">
        <f>LEFT(Tabla2[[#This Row],[codigo_producto]],FIND("/",Tabla2[[#This Row],[codigo_producto]])-1)</f>
        <v>1</v>
      </c>
      <c r="M140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10" spans="1:13" x14ac:dyDescent="0.25">
      <c r="A1410" t="s">
        <v>4225</v>
      </c>
      <c r="B1410" t="s">
        <v>1714</v>
      </c>
      <c r="C1410" t="s">
        <v>1714</v>
      </c>
      <c r="D1410">
        <v>32</v>
      </c>
      <c r="E1410">
        <v>8</v>
      </c>
      <c r="F1410">
        <v>9</v>
      </c>
      <c r="G1410">
        <v>12</v>
      </c>
      <c r="H1410" t="s">
        <v>2814</v>
      </c>
      <c r="I141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10" t="s">
        <v>1415</v>
      </c>
      <c r="K1410" t="str">
        <f>RIGHT(Tabla2[[#This Row],[codigo_producto]],LEN(Tabla2[[#This Row],[codigo_producto]])-FIND("/",Tabla2[[#This Row],[codigo_producto]]))</f>
        <v>13870M53M00000</v>
      </c>
      <c r="L1410" t="str">
        <f>LEFT(Tabla2[[#This Row],[codigo_producto]],FIND("/",Tabla2[[#This Row],[codigo_producto]])-1)</f>
        <v>1</v>
      </c>
      <c r="M141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11" spans="1:13" x14ac:dyDescent="0.25">
      <c r="A1411" t="s">
        <v>4226</v>
      </c>
      <c r="B1411" t="s">
        <v>1714</v>
      </c>
      <c r="C1411" t="s">
        <v>1714</v>
      </c>
      <c r="D1411">
        <v>32</v>
      </c>
      <c r="E1411">
        <v>8</v>
      </c>
      <c r="F1411">
        <v>9</v>
      </c>
      <c r="G1411">
        <v>12</v>
      </c>
      <c r="H1411" t="s">
        <v>2814</v>
      </c>
      <c r="I141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11" t="s">
        <v>1416</v>
      </c>
      <c r="K1411" t="str">
        <f>RIGHT(Tabla2[[#This Row],[codigo_producto]],LEN(Tabla2[[#This Row],[codigo_producto]])-FIND("/",Tabla2[[#This Row],[codigo_producto]]))</f>
        <v>13870M53M30000</v>
      </c>
      <c r="L1411" t="str">
        <f>LEFT(Tabla2[[#This Row],[codigo_producto]],FIND("/",Tabla2[[#This Row],[codigo_producto]])-1)</f>
        <v>1</v>
      </c>
      <c r="M141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12" spans="1:13" x14ac:dyDescent="0.25">
      <c r="A1412" t="s">
        <v>4227</v>
      </c>
      <c r="B1412" t="s">
        <v>2146</v>
      </c>
      <c r="C1412" t="s">
        <v>2146</v>
      </c>
      <c r="D1412">
        <v>32</v>
      </c>
      <c r="E1412">
        <v>8</v>
      </c>
      <c r="F1412">
        <v>9</v>
      </c>
      <c r="G1412">
        <v>12</v>
      </c>
      <c r="H1412" t="s">
        <v>2814</v>
      </c>
      <c r="I141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12" t="s">
        <v>1417</v>
      </c>
      <c r="K1412" t="str">
        <f>RIGHT(Tabla2[[#This Row],[codigo_producto]],LEN(Tabla2[[#This Row],[codigo_producto]])-FIND("/",Tabla2[[#This Row],[codigo_producto]]))</f>
        <v>15410M53M00000</v>
      </c>
      <c r="L1412" t="str">
        <f>LEFT(Tabla2[[#This Row],[codigo_producto]],FIND("/",Tabla2[[#This Row],[codigo_producto]])-1)</f>
        <v>1</v>
      </c>
      <c r="M141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13" spans="1:13" x14ac:dyDescent="0.25">
      <c r="A1413" t="s">
        <v>4228</v>
      </c>
      <c r="B1413" t="s">
        <v>1827</v>
      </c>
      <c r="C1413" t="s">
        <v>1827</v>
      </c>
      <c r="D1413">
        <v>32</v>
      </c>
      <c r="E1413">
        <v>8</v>
      </c>
      <c r="F1413">
        <v>9</v>
      </c>
      <c r="G1413">
        <v>12</v>
      </c>
      <c r="H1413" t="s">
        <v>2814</v>
      </c>
      <c r="I141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13" t="s">
        <v>1418</v>
      </c>
      <c r="K1413" t="str">
        <f>RIGHT(Tabla2[[#This Row],[codigo_producto]],LEN(Tabla2[[#This Row],[codigo_producto]])-FIND("/",Tabla2[[#This Row],[codigo_producto]]))</f>
        <v>15410M60M00000</v>
      </c>
      <c r="L1413" t="str">
        <f>LEFT(Tabla2[[#This Row],[codigo_producto]],FIND("/",Tabla2[[#This Row],[codigo_producto]])-1)</f>
        <v>1</v>
      </c>
      <c r="M141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14" spans="1:13" x14ac:dyDescent="0.25">
      <c r="A1414" t="s">
        <v>4229</v>
      </c>
      <c r="B1414" t="s">
        <v>1827</v>
      </c>
      <c r="C1414" t="s">
        <v>1827</v>
      </c>
      <c r="D1414">
        <v>32</v>
      </c>
      <c r="E1414">
        <v>8</v>
      </c>
      <c r="F1414">
        <v>9</v>
      </c>
      <c r="G1414">
        <v>12</v>
      </c>
      <c r="H1414" t="s">
        <v>2814</v>
      </c>
      <c r="I141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14" t="s">
        <v>1419</v>
      </c>
      <c r="K1414" t="str">
        <f>RIGHT(Tabla2[[#This Row],[codigo_producto]],LEN(Tabla2[[#This Row],[codigo_producto]])-FIND("/",Tabla2[[#This Row],[codigo_producto]]))</f>
        <v>15410M79F01000</v>
      </c>
      <c r="L1414" t="str">
        <f>LEFT(Tabla2[[#This Row],[codigo_producto]],FIND("/",Tabla2[[#This Row],[codigo_producto]])-1)</f>
        <v>1</v>
      </c>
      <c r="M141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15" spans="1:13" x14ac:dyDescent="0.25">
      <c r="A1415" t="s">
        <v>4230</v>
      </c>
      <c r="B1415" t="s">
        <v>1827</v>
      </c>
      <c r="C1415" t="s">
        <v>1827</v>
      </c>
      <c r="D1415">
        <v>32</v>
      </c>
      <c r="E1415">
        <v>8</v>
      </c>
      <c r="F1415">
        <v>9</v>
      </c>
      <c r="G1415">
        <v>12</v>
      </c>
      <c r="H1415" t="s">
        <v>2814</v>
      </c>
      <c r="I141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15" t="s">
        <v>1420</v>
      </c>
      <c r="K1415" t="str">
        <f>RIGHT(Tabla2[[#This Row],[codigo_producto]],LEN(Tabla2[[#This Row],[codigo_producto]])-FIND("/",Tabla2[[#This Row],[codigo_producto]]))</f>
        <v>15410M79M00000</v>
      </c>
      <c r="L1415" t="str">
        <f>LEFT(Tabla2[[#This Row],[codigo_producto]],FIND("/",Tabla2[[#This Row],[codigo_producto]])-1)</f>
        <v>1</v>
      </c>
      <c r="M141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16" spans="1:13" x14ac:dyDescent="0.25">
      <c r="A1416" t="s">
        <v>4231</v>
      </c>
      <c r="B1416" t="s">
        <v>1712</v>
      </c>
      <c r="C1416" t="s">
        <v>1712</v>
      </c>
      <c r="D1416">
        <v>32</v>
      </c>
      <c r="E1416">
        <v>8</v>
      </c>
      <c r="F1416">
        <v>9</v>
      </c>
      <c r="G1416">
        <v>12</v>
      </c>
      <c r="H1416" t="s">
        <v>2814</v>
      </c>
      <c r="I141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16" t="s">
        <v>1421</v>
      </c>
      <c r="K1416" t="str">
        <f>RIGHT(Tabla2[[#This Row],[codigo_producto]],LEN(Tabla2[[#This Row],[codigo_producto]])-FIND("/",Tabla2[[#This Row],[codigo_producto]]))</f>
        <v>16510M65L10000</v>
      </c>
      <c r="L1416" t="str">
        <f>LEFT(Tabla2[[#This Row],[codigo_producto]],FIND("/",Tabla2[[#This Row],[codigo_producto]])-1)</f>
        <v>1</v>
      </c>
      <c r="M141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17" spans="1:13" x14ac:dyDescent="0.25">
      <c r="A1417" t="s">
        <v>4232</v>
      </c>
      <c r="B1417" t="s">
        <v>2480</v>
      </c>
      <c r="C1417" t="s">
        <v>2480</v>
      </c>
      <c r="D1417">
        <v>32</v>
      </c>
      <c r="E1417">
        <v>8</v>
      </c>
      <c r="F1417">
        <v>9</v>
      </c>
      <c r="G1417">
        <v>12</v>
      </c>
      <c r="H1417" t="s">
        <v>2814</v>
      </c>
      <c r="I141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17" t="s">
        <v>1422</v>
      </c>
      <c r="K1417" t="str">
        <f>RIGHT(Tabla2[[#This Row],[codigo_producto]],LEN(Tabla2[[#This Row],[codigo_producto]])-FIND("/",Tabla2[[#This Row],[codigo_producto]]))</f>
        <v>16510M68K00000</v>
      </c>
      <c r="L1417" t="str">
        <f>LEFT(Tabla2[[#This Row],[codigo_producto]],FIND("/",Tabla2[[#This Row],[codigo_producto]])-1)</f>
        <v>1</v>
      </c>
      <c r="M141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18" spans="1:13" x14ac:dyDescent="0.25">
      <c r="A1418" t="s">
        <v>4233</v>
      </c>
      <c r="B1418" t="s">
        <v>2482</v>
      </c>
      <c r="C1418" t="s">
        <v>2482</v>
      </c>
      <c r="D1418">
        <v>32</v>
      </c>
      <c r="E1418">
        <v>8</v>
      </c>
      <c r="F1418">
        <v>9</v>
      </c>
      <c r="G1418">
        <v>12</v>
      </c>
      <c r="H1418" t="s">
        <v>2814</v>
      </c>
      <c r="I141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18" t="s">
        <v>1423</v>
      </c>
      <c r="K1418" t="str">
        <f>RIGHT(Tabla2[[#This Row],[codigo_producto]],LEN(Tabla2[[#This Row],[codigo_producto]])-FIND("/",Tabla2[[#This Row],[codigo_producto]]))</f>
        <v>17521M68K50000</v>
      </c>
      <c r="L1418" t="str">
        <f>LEFT(Tabla2[[#This Row],[codigo_producto]],FIND("/",Tabla2[[#This Row],[codigo_producto]])-1)</f>
        <v>1</v>
      </c>
      <c r="M141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19" spans="1:13" x14ac:dyDescent="0.25">
      <c r="A1419" t="s">
        <v>4234</v>
      </c>
      <c r="B1419" t="s">
        <v>2397</v>
      </c>
      <c r="C1419" t="s">
        <v>2397</v>
      </c>
      <c r="D1419">
        <v>32</v>
      </c>
      <c r="E1419">
        <v>8</v>
      </c>
      <c r="F1419">
        <v>9</v>
      </c>
      <c r="G1419">
        <v>12</v>
      </c>
      <c r="H1419" t="s">
        <v>2814</v>
      </c>
      <c r="I141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19" t="s">
        <v>1424</v>
      </c>
      <c r="K1419" t="str">
        <f>RIGHT(Tabla2[[#This Row],[codigo_producto]],LEN(Tabla2[[#This Row],[codigo_producto]])-FIND("/",Tabla2[[#This Row],[codigo_producto]]))</f>
        <v>17521M68P00000</v>
      </c>
      <c r="L1419" t="str">
        <f>LEFT(Tabla2[[#This Row],[codigo_producto]],FIND("/",Tabla2[[#This Row],[codigo_producto]])-1)</f>
        <v>1</v>
      </c>
      <c r="M141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20" spans="1:13" x14ac:dyDescent="0.25">
      <c r="A1420" t="s">
        <v>4235</v>
      </c>
      <c r="B1420" t="s">
        <v>2482</v>
      </c>
      <c r="C1420" t="s">
        <v>2482</v>
      </c>
      <c r="D1420">
        <v>32</v>
      </c>
      <c r="E1420">
        <v>8</v>
      </c>
      <c r="F1420">
        <v>9</v>
      </c>
      <c r="G1420">
        <v>12</v>
      </c>
      <c r="H1420" t="s">
        <v>2814</v>
      </c>
      <c r="I142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20" t="s">
        <v>1425</v>
      </c>
      <c r="K1420" t="str">
        <f>RIGHT(Tabla2[[#This Row],[codigo_producto]],LEN(Tabla2[[#This Row],[codigo_producto]])-FIND("/",Tabla2[[#This Row],[codigo_producto]]))</f>
        <v>17521M79G20000</v>
      </c>
      <c r="L1420" t="str">
        <f>LEFT(Tabla2[[#This Row],[codigo_producto]],FIND("/",Tabla2[[#This Row],[codigo_producto]])-1)</f>
        <v>1</v>
      </c>
      <c r="M142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21" spans="1:13" x14ac:dyDescent="0.25">
      <c r="A1421" t="s">
        <v>4236</v>
      </c>
      <c r="B1421" t="s">
        <v>2662</v>
      </c>
      <c r="C1421" t="s">
        <v>2662</v>
      </c>
      <c r="D1421">
        <v>32</v>
      </c>
      <c r="E1421">
        <v>8</v>
      </c>
      <c r="F1421">
        <v>9</v>
      </c>
      <c r="G1421">
        <v>12</v>
      </c>
      <c r="H1421" t="s">
        <v>2814</v>
      </c>
      <c r="I142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21" t="s">
        <v>1426</v>
      </c>
      <c r="K1421" t="str">
        <f>RIGHT(Tabla2[[#This Row],[codigo_producto]],LEN(Tabla2[[#This Row],[codigo_producto]])-FIND("/",Tabla2[[#This Row],[codigo_producto]]))</f>
        <v>17670M83F00000</v>
      </c>
      <c r="L1421" t="str">
        <f>LEFT(Tabla2[[#This Row],[codigo_producto]],FIND("/",Tabla2[[#This Row],[codigo_producto]])-1)</f>
        <v>1</v>
      </c>
      <c r="M142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22" spans="1:13" x14ac:dyDescent="0.25">
      <c r="A1422" t="s">
        <v>4237</v>
      </c>
      <c r="B1422" t="s">
        <v>2663</v>
      </c>
      <c r="C1422" t="s">
        <v>2663</v>
      </c>
      <c r="D1422">
        <v>32</v>
      </c>
      <c r="E1422">
        <v>8</v>
      </c>
      <c r="F1422">
        <v>9</v>
      </c>
      <c r="G1422">
        <v>12</v>
      </c>
      <c r="H1422" t="s">
        <v>2814</v>
      </c>
      <c r="I142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22" t="s">
        <v>1427</v>
      </c>
      <c r="K1422" t="str">
        <f>RIGHT(Tabla2[[#This Row],[codigo_producto]],LEN(Tabla2[[#This Row],[codigo_producto]])-FIND("/",Tabla2[[#This Row],[codigo_producto]]))</f>
        <v>17698M53M00000</v>
      </c>
      <c r="L1422" t="str">
        <f>LEFT(Tabla2[[#This Row],[codigo_producto]],FIND("/",Tabla2[[#This Row],[codigo_producto]])-1)</f>
        <v>1</v>
      </c>
      <c r="M142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23" spans="1:13" x14ac:dyDescent="0.25">
      <c r="A1423" t="s">
        <v>4238</v>
      </c>
      <c r="B1423" t="s">
        <v>2258</v>
      </c>
      <c r="C1423" t="s">
        <v>2258</v>
      </c>
      <c r="D1423">
        <v>32</v>
      </c>
      <c r="E1423">
        <v>8</v>
      </c>
      <c r="F1423">
        <v>9</v>
      </c>
      <c r="G1423">
        <v>12</v>
      </c>
      <c r="H1423" t="s">
        <v>2814</v>
      </c>
      <c r="I142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23" t="s">
        <v>1428</v>
      </c>
      <c r="K1423" t="str">
        <f>RIGHT(Tabla2[[#This Row],[codigo_producto]],LEN(Tabla2[[#This Row],[codigo_producto]])-FIND("/",Tabla2[[#This Row],[codigo_producto]]))</f>
        <v>17920M75F00000</v>
      </c>
      <c r="L1423" t="str">
        <f>LEFT(Tabla2[[#This Row],[codigo_producto]],FIND("/",Tabla2[[#This Row],[codigo_producto]])-1)</f>
        <v>1</v>
      </c>
      <c r="M142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24" spans="1:13" x14ac:dyDescent="0.25">
      <c r="A1424" t="s">
        <v>4239</v>
      </c>
      <c r="B1424" t="s">
        <v>2566</v>
      </c>
      <c r="C1424" t="s">
        <v>2566</v>
      </c>
      <c r="D1424">
        <v>32</v>
      </c>
      <c r="E1424">
        <v>8</v>
      </c>
      <c r="F1424">
        <v>9</v>
      </c>
      <c r="G1424">
        <v>12</v>
      </c>
      <c r="H1424" t="s">
        <v>2814</v>
      </c>
      <c r="I142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24" t="s">
        <v>1429</v>
      </c>
      <c r="K1424" t="str">
        <f>RIGHT(Tabla2[[#This Row],[codigo_producto]],LEN(Tabla2[[#This Row],[codigo_producto]])-FIND("/",Tabla2[[#This Row],[codigo_producto]]))</f>
        <v>22100M80T00000</v>
      </c>
      <c r="L1424" t="str">
        <f>LEFT(Tabla2[[#This Row],[codigo_producto]],FIND("/",Tabla2[[#This Row],[codigo_producto]])-1)</f>
        <v>1</v>
      </c>
      <c r="M142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25" spans="1:13" x14ac:dyDescent="0.25">
      <c r="A1425" t="s">
        <v>4240</v>
      </c>
      <c r="B1425" t="s">
        <v>1893</v>
      </c>
      <c r="C1425" t="s">
        <v>1893</v>
      </c>
      <c r="D1425">
        <v>32</v>
      </c>
      <c r="E1425">
        <v>8</v>
      </c>
      <c r="F1425">
        <v>9</v>
      </c>
      <c r="G1425">
        <v>12</v>
      </c>
      <c r="H1425" t="s">
        <v>2814</v>
      </c>
      <c r="I142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25" t="s">
        <v>1430</v>
      </c>
      <c r="K1425" t="str">
        <f>RIGHT(Tabla2[[#This Row],[codigo_producto]],LEN(Tabla2[[#This Row],[codigo_producto]])-FIND("/",Tabla2[[#This Row],[codigo_producto]]))</f>
        <v>22400M80T00000</v>
      </c>
      <c r="L1425" t="str">
        <f>LEFT(Tabla2[[#This Row],[codigo_producto]],FIND("/",Tabla2[[#This Row],[codigo_producto]])-1)</f>
        <v>1</v>
      </c>
      <c r="M142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26" spans="1:13" x14ac:dyDescent="0.25">
      <c r="A1426" t="s">
        <v>4241</v>
      </c>
      <c r="B1426" t="s">
        <v>2452</v>
      </c>
      <c r="C1426" t="s">
        <v>2452</v>
      </c>
      <c r="D1426">
        <v>32</v>
      </c>
      <c r="E1426">
        <v>8</v>
      </c>
      <c r="F1426">
        <v>9</v>
      </c>
      <c r="G1426">
        <v>12</v>
      </c>
      <c r="H1426" t="s">
        <v>2814</v>
      </c>
      <c r="I142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26" t="s">
        <v>1431</v>
      </c>
      <c r="K1426" t="str">
        <f>RIGHT(Tabla2[[#This Row],[codigo_producto]],LEN(Tabla2[[#This Row],[codigo_producto]])-FIND("/",Tabla2[[#This Row],[codigo_producto]]))</f>
        <v>35802M76T01000</v>
      </c>
      <c r="L1426" t="str">
        <f>LEFT(Tabla2[[#This Row],[codigo_producto]],FIND("/",Tabla2[[#This Row],[codigo_producto]])-1)</f>
        <v>1</v>
      </c>
      <c r="M142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27" spans="1:13" x14ac:dyDescent="0.25">
      <c r="A1427" t="s">
        <v>4242</v>
      </c>
      <c r="B1427" t="s">
        <v>2664</v>
      </c>
      <c r="C1427" t="s">
        <v>2664</v>
      </c>
      <c r="D1427">
        <v>32</v>
      </c>
      <c r="E1427">
        <v>8</v>
      </c>
      <c r="F1427">
        <v>9</v>
      </c>
      <c r="G1427">
        <v>12</v>
      </c>
      <c r="H1427" t="s">
        <v>2814</v>
      </c>
      <c r="I142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27" t="s">
        <v>1432</v>
      </c>
      <c r="K1427" t="str">
        <f>RIGHT(Tabla2[[#This Row],[codigo_producto]],LEN(Tabla2[[#This Row],[codigo_producto]])-FIND("/",Tabla2[[#This Row],[codigo_producto]]))</f>
        <v>37019M53M91000</v>
      </c>
      <c r="L1427" t="str">
        <f>LEFT(Tabla2[[#This Row],[codigo_producto]],FIND("/",Tabla2[[#This Row],[codigo_producto]])-1)</f>
        <v>1</v>
      </c>
      <c r="M142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28" spans="1:13" x14ac:dyDescent="0.25">
      <c r="A1428" t="s">
        <v>4243</v>
      </c>
      <c r="B1428" t="s">
        <v>2665</v>
      </c>
      <c r="C1428" t="s">
        <v>2665</v>
      </c>
      <c r="D1428">
        <v>32</v>
      </c>
      <c r="E1428">
        <v>8</v>
      </c>
      <c r="F1428">
        <v>9</v>
      </c>
      <c r="G1428">
        <v>12</v>
      </c>
      <c r="H1428" t="s">
        <v>2814</v>
      </c>
      <c r="I142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28" t="s">
        <v>1433</v>
      </c>
      <c r="K1428" t="str">
        <f>RIGHT(Tabla2[[#This Row],[codigo_producto]],LEN(Tabla2[[#This Row],[codigo_producto]])-FIND("/",Tabla2[[#This Row],[codigo_producto]]))</f>
        <v>43440M68K00000</v>
      </c>
      <c r="L1428" t="str">
        <f>LEFT(Tabla2[[#This Row],[codigo_producto]],FIND("/",Tabla2[[#This Row],[codigo_producto]])-1)</f>
        <v>1</v>
      </c>
      <c r="M142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29" spans="1:13" x14ac:dyDescent="0.25">
      <c r="A1429" t="s">
        <v>4244</v>
      </c>
      <c r="B1429" t="s">
        <v>1812</v>
      </c>
      <c r="C1429" t="s">
        <v>1812</v>
      </c>
      <c r="D1429">
        <v>32</v>
      </c>
      <c r="E1429">
        <v>8</v>
      </c>
      <c r="F1429">
        <v>9</v>
      </c>
      <c r="G1429">
        <v>12</v>
      </c>
      <c r="H1429" t="s">
        <v>2814</v>
      </c>
      <c r="I142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29" t="s">
        <v>1434</v>
      </c>
      <c r="K1429" t="str">
        <f>RIGHT(Tabla2[[#This Row],[codigo_producto]],LEN(Tabla2[[#This Row],[codigo_producto]])-FIND("/",Tabla2[[#This Row],[codigo_producto]]))</f>
        <v>43511M68P70000</v>
      </c>
      <c r="L1429" t="str">
        <f>LEFT(Tabla2[[#This Row],[codigo_producto]],FIND("/",Tabla2[[#This Row],[codigo_producto]])-1)</f>
        <v>1</v>
      </c>
      <c r="M142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30" spans="1:13" x14ac:dyDescent="0.25">
      <c r="A1430" t="s">
        <v>4245</v>
      </c>
      <c r="B1430" t="s">
        <v>2666</v>
      </c>
      <c r="C1430" t="s">
        <v>2666</v>
      </c>
      <c r="D1430">
        <v>32</v>
      </c>
      <c r="E1430">
        <v>8</v>
      </c>
      <c r="F1430">
        <v>9</v>
      </c>
      <c r="G1430">
        <v>12</v>
      </c>
      <c r="H1430" t="s">
        <v>2814</v>
      </c>
      <c r="I143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30" t="s">
        <v>1435</v>
      </c>
      <c r="K1430" t="str">
        <f>RIGHT(Tabla2[[#This Row],[codigo_producto]],LEN(Tabla2[[#This Row],[codigo_producto]])-FIND("/",Tabla2[[#This Row],[codigo_producto]]))</f>
        <v>46860M68K10000</v>
      </c>
      <c r="L1430" t="str">
        <f>LEFT(Tabla2[[#This Row],[codigo_producto]],FIND("/",Tabla2[[#This Row],[codigo_producto]])-1)</f>
        <v>1</v>
      </c>
      <c r="M143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31" spans="1:13" x14ac:dyDescent="0.25">
      <c r="A1431" t="s">
        <v>4246</v>
      </c>
      <c r="B1431" t="s">
        <v>2667</v>
      </c>
      <c r="C1431" t="s">
        <v>2667</v>
      </c>
      <c r="D1431">
        <v>32</v>
      </c>
      <c r="E1431">
        <v>8</v>
      </c>
      <c r="F1431">
        <v>9</v>
      </c>
      <c r="G1431">
        <v>12</v>
      </c>
      <c r="H1431" t="s">
        <v>2814</v>
      </c>
      <c r="I143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31" t="s">
        <v>1436</v>
      </c>
      <c r="K1431" t="str">
        <f>RIGHT(Tabla2[[#This Row],[codigo_producto]],LEN(Tabla2[[#This Row],[codigo_producto]])-FIND("/",Tabla2[[#This Row],[codigo_producto]]))</f>
        <v>48810M62S00OTS</v>
      </c>
      <c r="L1431" t="str">
        <f>LEFT(Tabla2[[#This Row],[codigo_producto]],FIND("/",Tabla2[[#This Row],[codigo_producto]])-1)</f>
        <v>1</v>
      </c>
      <c r="M143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32" spans="1:13" x14ac:dyDescent="0.25">
      <c r="A1432" t="s">
        <v>4247</v>
      </c>
      <c r="B1432" t="s">
        <v>2668</v>
      </c>
      <c r="C1432" t="s">
        <v>2668</v>
      </c>
      <c r="D1432">
        <v>32</v>
      </c>
      <c r="E1432">
        <v>8</v>
      </c>
      <c r="F1432">
        <v>9</v>
      </c>
      <c r="G1432">
        <v>12</v>
      </c>
      <c r="H1432" t="s">
        <v>2814</v>
      </c>
      <c r="I143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32" t="s">
        <v>1437</v>
      </c>
      <c r="K1432" t="str">
        <f>RIGHT(Tabla2[[#This Row],[codigo_producto]],LEN(Tabla2[[#This Row],[codigo_producto]])-FIND("/",Tabla2[[#This Row],[codigo_producto]]))</f>
        <v>53200M54T00000</v>
      </c>
      <c r="L1432" t="str">
        <f>LEFT(Tabla2[[#This Row],[codigo_producto]],FIND("/",Tabla2[[#This Row],[codigo_producto]])-1)</f>
        <v>1</v>
      </c>
      <c r="M143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33" spans="1:13" x14ac:dyDescent="0.25">
      <c r="A1433" t="s">
        <v>4248</v>
      </c>
      <c r="B1433" t="s">
        <v>2525</v>
      </c>
      <c r="C1433" t="s">
        <v>2525</v>
      </c>
      <c r="D1433">
        <v>32</v>
      </c>
      <c r="E1433">
        <v>8</v>
      </c>
      <c r="F1433">
        <v>9</v>
      </c>
      <c r="G1433">
        <v>12</v>
      </c>
      <c r="H1433" t="s">
        <v>2814</v>
      </c>
      <c r="I143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33" t="s">
        <v>1438</v>
      </c>
      <c r="K1433" t="str">
        <f>RIGHT(Tabla2[[#This Row],[codigo_producto]],LEN(Tabla2[[#This Row],[codigo_producto]])-FIND("/",Tabla2[[#This Row],[codigo_producto]]))</f>
        <v>53200M68K10000</v>
      </c>
      <c r="L1433" t="str">
        <f>LEFT(Tabla2[[#This Row],[codigo_producto]],FIND("/",Tabla2[[#This Row],[codigo_producto]])-1)</f>
        <v>1</v>
      </c>
      <c r="M143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34" spans="1:13" x14ac:dyDescent="0.25">
      <c r="A1434" t="s">
        <v>4249</v>
      </c>
      <c r="B1434" t="s">
        <v>2668</v>
      </c>
      <c r="C1434" t="s">
        <v>2668</v>
      </c>
      <c r="D1434">
        <v>32</v>
      </c>
      <c r="E1434">
        <v>8</v>
      </c>
      <c r="F1434">
        <v>9</v>
      </c>
      <c r="G1434">
        <v>12</v>
      </c>
      <c r="H1434" t="s">
        <v>2814</v>
      </c>
      <c r="I143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34" t="s">
        <v>1439</v>
      </c>
      <c r="K1434" t="str">
        <f>RIGHT(Tabla2[[#This Row],[codigo_producto]],LEN(Tabla2[[#This Row],[codigo_producto]])-FIND("/",Tabla2[[#This Row],[codigo_producto]]))</f>
        <v>53200M73T00000</v>
      </c>
      <c r="L1434" t="str">
        <f>LEFT(Tabla2[[#This Row],[codigo_producto]],FIND("/",Tabla2[[#This Row],[codigo_producto]])-1)</f>
        <v>1</v>
      </c>
      <c r="M143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35" spans="1:13" x14ac:dyDescent="0.25">
      <c r="A1435" t="s">
        <v>4250</v>
      </c>
      <c r="B1435" t="s">
        <v>2525</v>
      </c>
      <c r="C1435" t="s">
        <v>2525</v>
      </c>
      <c r="D1435">
        <v>32</v>
      </c>
      <c r="E1435">
        <v>8</v>
      </c>
      <c r="F1435">
        <v>9</v>
      </c>
      <c r="G1435">
        <v>12</v>
      </c>
      <c r="H1435" t="s">
        <v>2814</v>
      </c>
      <c r="I143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35" t="s">
        <v>1440</v>
      </c>
      <c r="K1435" t="str">
        <f>RIGHT(Tabla2[[#This Row],[codigo_producto]],LEN(Tabla2[[#This Row],[codigo_producto]])-FIND("/",Tabla2[[#This Row],[codigo_producto]]))</f>
        <v>53200M79F00000</v>
      </c>
      <c r="L1435" t="str">
        <f>LEFT(Tabla2[[#This Row],[codigo_producto]],FIND("/",Tabla2[[#This Row],[codigo_producto]])-1)</f>
        <v>1</v>
      </c>
      <c r="M143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36" spans="1:13" x14ac:dyDescent="0.25">
      <c r="A1436" t="s">
        <v>4251</v>
      </c>
      <c r="B1436" t="s">
        <v>1721</v>
      </c>
      <c r="C1436" t="s">
        <v>1721</v>
      </c>
      <c r="D1436">
        <v>32</v>
      </c>
      <c r="E1436">
        <v>8</v>
      </c>
      <c r="F1436">
        <v>9</v>
      </c>
      <c r="G1436">
        <v>12</v>
      </c>
      <c r="H1436" t="s">
        <v>2814</v>
      </c>
      <c r="I143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36" t="s">
        <v>1441</v>
      </c>
      <c r="K1436" t="str">
        <f>RIGHT(Tabla2[[#This Row],[codigo_producto]],LEN(Tabla2[[#This Row],[codigo_producto]])-FIND("/",Tabla2[[#This Row],[codigo_producto]]))</f>
        <v>55211M80T00000</v>
      </c>
      <c r="L1436" t="str">
        <f>LEFT(Tabla2[[#This Row],[codigo_producto]],FIND("/",Tabla2[[#This Row],[codigo_producto]])-1)</f>
        <v>1</v>
      </c>
      <c r="M143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37" spans="1:13" x14ac:dyDescent="0.25">
      <c r="A1437" t="s">
        <v>4252</v>
      </c>
      <c r="B1437" t="s">
        <v>1721</v>
      </c>
      <c r="C1437" t="s">
        <v>1721</v>
      </c>
      <c r="D1437">
        <v>32</v>
      </c>
      <c r="E1437">
        <v>8</v>
      </c>
      <c r="F1437">
        <v>9</v>
      </c>
      <c r="G1437">
        <v>12</v>
      </c>
      <c r="H1437" t="s">
        <v>2814</v>
      </c>
      <c r="I143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37" t="s">
        <v>1442</v>
      </c>
      <c r="K1437" t="str">
        <f>RIGHT(Tabla2[[#This Row],[codigo_producto]],LEN(Tabla2[[#This Row],[codigo_producto]])-FIND("/",Tabla2[[#This Row],[codigo_producto]]))</f>
        <v>55311M60M00000</v>
      </c>
      <c r="L1437" t="str">
        <f>LEFT(Tabla2[[#This Row],[codigo_producto]],FIND("/",Tabla2[[#This Row],[codigo_producto]])-1)</f>
        <v>1</v>
      </c>
      <c r="M143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38" spans="1:13" x14ac:dyDescent="0.25">
      <c r="A1438" t="s">
        <v>4253</v>
      </c>
      <c r="B1438" t="s">
        <v>1721</v>
      </c>
      <c r="C1438" t="s">
        <v>1721</v>
      </c>
      <c r="D1438">
        <v>32</v>
      </c>
      <c r="E1438">
        <v>8</v>
      </c>
      <c r="F1438">
        <v>9</v>
      </c>
      <c r="G1438">
        <v>12</v>
      </c>
      <c r="H1438" t="s">
        <v>2814</v>
      </c>
      <c r="I143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38" t="s">
        <v>1443</v>
      </c>
      <c r="K1438" t="str">
        <f>RIGHT(Tabla2[[#This Row],[codigo_producto]],LEN(Tabla2[[#This Row],[codigo_producto]])-FIND("/",Tabla2[[#This Row],[codigo_producto]]))</f>
        <v>55311M69P20000</v>
      </c>
      <c r="L1438" t="str">
        <f>LEFT(Tabla2[[#This Row],[codigo_producto]],FIND("/",Tabla2[[#This Row],[codigo_producto]])-1)</f>
        <v>1</v>
      </c>
      <c r="M143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39" spans="1:13" x14ac:dyDescent="0.25">
      <c r="A1439" t="s">
        <v>4254</v>
      </c>
      <c r="B1439" t="s">
        <v>2669</v>
      </c>
      <c r="C1439" t="s">
        <v>2669</v>
      </c>
      <c r="D1439">
        <v>32</v>
      </c>
      <c r="E1439">
        <v>8</v>
      </c>
      <c r="F1439">
        <v>9</v>
      </c>
      <c r="G1439">
        <v>12</v>
      </c>
      <c r="H1439" t="s">
        <v>2814</v>
      </c>
      <c r="I143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39" t="s">
        <v>1444</v>
      </c>
      <c r="K1439" t="str">
        <f>RIGHT(Tabla2[[#This Row],[codigo_producto]],LEN(Tabla2[[#This Row],[codigo_producto]])-FIND("/",Tabla2[[#This Row],[codigo_producto]]))</f>
        <v>55810M60M00000</v>
      </c>
      <c r="L1439" t="str">
        <f>LEFT(Tabla2[[#This Row],[codigo_producto]],FIND("/",Tabla2[[#This Row],[codigo_producto]])-1)</f>
        <v>1</v>
      </c>
      <c r="M143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40" spans="1:13" x14ac:dyDescent="0.25">
      <c r="A1440" t="s">
        <v>4255</v>
      </c>
      <c r="B1440" t="s">
        <v>2670</v>
      </c>
      <c r="C1440" t="s">
        <v>2670</v>
      </c>
      <c r="D1440">
        <v>32</v>
      </c>
      <c r="E1440">
        <v>8</v>
      </c>
      <c r="F1440">
        <v>9</v>
      </c>
      <c r="G1440">
        <v>12</v>
      </c>
      <c r="H1440" t="s">
        <v>2814</v>
      </c>
      <c r="I144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40" t="s">
        <v>1445</v>
      </c>
      <c r="K1440" t="str">
        <f>RIGHT(Tabla2[[#This Row],[codigo_producto]],LEN(Tabla2[[#This Row],[codigo_producto]])-FIND("/",Tabla2[[#This Row],[codigo_producto]]))</f>
        <v>55810M62S10000</v>
      </c>
      <c r="L1440" t="str">
        <f>LEFT(Tabla2[[#This Row],[codigo_producto]],FIND("/",Tabla2[[#This Row],[codigo_producto]])-1)</f>
        <v>1</v>
      </c>
      <c r="M144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41" spans="1:13" x14ac:dyDescent="0.25">
      <c r="A1441" t="s">
        <v>4256</v>
      </c>
      <c r="B1441" t="s">
        <v>1821</v>
      </c>
      <c r="C1441" t="s">
        <v>1821</v>
      </c>
      <c r="D1441">
        <v>32</v>
      </c>
      <c r="E1441">
        <v>8</v>
      </c>
      <c r="F1441">
        <v>9</v>
      </c>
      <c r="G1441">
        <v>12</v>
      </c>
      <c r="H1441" t="s">
        <v>2814</v>
      </c>
      <c r="I144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41" t="s">
        <v>1446</v>
      </c>
      <c r="K1441" t="str">
        <f>RIGHT(Tabla2[[#This Row],[codigo_producto]],LEN(Tabla2[[#This Row],[codigo_producto]])-FIND("/",Tabla2[[#This Row],[codigo_producto]]))</f>
        <v>55810M75J30000</v>
      </c>
      <c r="L1441" t="str">
        <f>LEFT(Tabla2[[#This Row],[codigo_producto]],FIND("/",Tabla2[[#This Row],[codigo_producto]])-1)</f>
        <v>1</v>
      </c>
      <c r="M144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42" spans="1:13" x14ac:dyDescent="0.25">
      <c r="A1442" t="s">
        <v>4257</v>
      </c>
      <c r="B1442" t="s">
        <v>1831</v>
      </c>
      <c r="C1442" t="s">
        <v>1831</v>
      </c>
      <c r="D1442">
        <v>32</v>
      </c>
      <c r="E1442">
        <v>8</v>
      </c>
      <c r="F1442">
        <v>9</v>
      </c>
      <c r="G1442">
        <v>12</v>
      </c>
      <c r="H1442" t="s">
        <v>2814</v>
      </c>
      <c r="I144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42" t="s">
        <v>1447</v>
      </c>
      <c r="K1442" t="str">
        <f>RIGHT(Tabla2[[#This Row],[codigo_producto]],LEN(Tabla2[[#This Row],[codigo_producto]])-FIND("/",Tabla2[[#This Row],[codigo_producto]]))</f>
        <v>55810M80T00000</v>
      </c>
      <c r="L1442" t="str">
        <f>LEFT(Tabla2[[#This Row],[codigo_producto]],FIND("/",Tabla2[[#This Row],[codigo_producto]])-1)</f>
        <v>1</v>
      </c>
      <c r="M144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43" spans="1:13" x14ac:dyDescent="0.25">
      <c r="A1443" t="s">
        <v>4258</v>
      </c>
      <c r="B1443" t="s">
        <v>2671</v>
      </c>
      <c r="C1443" t="s">
        <v>2671</v>
      </c>
      <c r="D1443">
        <v>32</v>
      </c>
      <c r="E1443">
        <v>8</v>
      </c>
      <c r="F1443">
        <v>9</v>
      </c>
      <c r="G1443">
        <v>12</v>
      </c>
      <c r="H1443" t="s">
        <v>2814</v>
      </c>
      <c r="I144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43" t="s">
        <v>1448</v>
      </c>
      <c r="K1443" t="str">
        <f>RIGHT(Tabla2[[#This Row],[codigo_producto]],LEN(Tabla2[[#This Row],[codigo_producto]])-FIND("/",Tabla2[[#This Row],[codigo_producto]]))</f>
        <v>55910M68P00000</v>
      </c>
      <c r="L1443" t="str">
        <f>LEFT(Tabla2[[#This Row],[codigo_producto]],FIND("/",Tabla2[[#This Row],[codigo_producto]])-1)</f>
        <v>1</v>
      </c>
      <c r="M144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44" spans="1:13" x14ac:dyDescent="0.25">
      <c r="A1444" t="s">
        <v>4259</v>
      </c>
      <c r="B1444" t="s">
        <v>2672</v>
      </c>
      <c r="C1444" t="s">
        <v>2672</v>
      </c>
      <c r="D1444">
        <v>32</v>
      </c>
      <c r="E1444">
        <v>8</v>
      </c>
      <c r="F1444">
        <v>9</v>
      </c>
      <c r="G1444">
        <v>12</v>
      </c>
      <c r="H1444" t="s">
        <v>2814</v>
      </c>
      <c r="I144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44" t="s">
        <v>1449</v>
      </c>
      <c r="K1444" t="str">
        <f>RIGHT(Tabla2[[#This Row],[codigo_producto]],LEN(Tabla2[[#This Row],[codigo_producto]])-FIND("/",Tabla2[[#This Row],[codigo_producto]]))</f>
        <v>58270M62S10000</v>
      </c>
      <c r="L1444" t="str">
        <f>LEFT(Tabla2[[#This Row],[codigo_producto]],FIND("/",Tabla2[[#This Row],[codigo_producto]])-1)</f>
        <v>1</v>
      </c>
      <c r="M144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45" spans="1:13" x14ac:dyDescent="0.25">
      <c r="A1445" t="s">
        <v>4260</v>
      </c>
      <c r="B1445" t="s">
        <v>2673</v>
      </c>
      <c r="C1445" t="s">
        <v>2673</v>
      </c>
      <c r="D1445">
        <v>32</v>
      </c>
      <c r="E1445">
        <v>8</v>
      </c>
      <c r="F1445">
        <v>9</v>
      </c>
      <c r="G1445">
        <v>12</v>
      </c>
      <c r="H1445" t="s">
        <v>2814</v>
      </c>
      <c r="I144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45" t="s">
        <v>1450</v>
      </c>
      <c r="K1445" t="str">
        <f>RIGHT(Tabla2[[#This Row],[codigo_producto]],LEN(Tabla2[[#This Row],[codigo_producto]])-FIND("/",Tabla2[[#This Row],[codigo_producto]]))</f>
        <v>71742M53M000CB</v>
      </c>
      <c r="L1445" t="str">
        <f>LEFT(Tabla2[[#This Row],[codigo_producto]],FIND("/",Tabla2[[#This Row],[codigo_producto]])-1)</f>
        <v>1</v>
      </c>
      <c r="M144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46" spans="1:13" x14ac:dyDescent="0.25">
      <c r="A1446" t="s">
        <v>4261</v>
      </c>
      <c r="B1446" t="s">
        <v>2674</v>
      </c>
      <c r="C1446" t="s">
        <v>2674</v>
      </c>
      <c r="D1446">
        <v>32</v>
      </c>
      <c r="E1446">
        <v>8</v>
      </c>
      <c r="F1446">
        <v>9</v>
      </c>
      <c r="G1446">
        <v>12</v>
      </c>
      <c r="H1446" t="s">
        <v>2814</v>
      </c>
      <c r="I144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46" t="s">
        <v>1451</v>
      </c>
      <c r="K1446" t="str">
        <f>RIGHT(Tabla2[[#This Row],[codigo_producto]],LEN(Tabla2[[#This Row],[codigo_producto]])-FIND("/",Tabla2[[#This Row],[codigo_producto]]))</f>
        <v>71771M55T00000</v>
      </c>
      <c r="L1446" t="str">
        <f>LEFT(Tabla2[[#This Row],[codigo_producto]],FIND("/",Tabla2[[#This Row],[codigo_producto]])-1)</f>
        <v>1</v>
      </c>
      <c r="M144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47" spans="1:13" x14ac:dyDescent="0.25">
      <c r="A1447" t="s">
        <v>4262</v>
      </c>
      <c r="B1447" t="s">
        <v>2675</v>
      </c>
      <c r="C1447" t="s">
        <v>2675</v>
      </c>
      <c r="D1447">
        <v>32</v>
      </c>
      <c r="E1447">
        <v>8</v>
      </c>
      <c r="F1447">
        <v>9</v>
      </c>
      <c r="G1447">
        <v>12</v>
      </c>
      <c r="H1447" t="s">
        <v>2814</v>
      </c>
      <c r="I144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47" t="s">
        <v>1452</v>
      </c>
      <c r="K1447" t="str">
        <f>RIGHT(Tabla2[[#This Row],[codigo_producto]],LEN(Tabla2[[#This Row],[codigo_producto]])-FIND("/",Tabla2[[#This Row],[codigo_producto]]))</f>
        <v>72371M56R105PK</v>
      </c>
      <c r="L1447" t="str">
        <f>LEFT(Tabla2[[#This Row],[codigo_producto]],FIND("/",Tabla2[[#This Row],[codigo_producto]])-1)</f>
        <v>1</v>
      </c>
      <c r="M144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48" spans="1:13" x14ac:dyDescent="0.25">
      <c r="A1448" t="s">
        <v>4263</v>
      </c>
      <c r="B1448" t="s">
        <v>2676</v>
      </c>
      <c r="C1448" t="s">
        <v>2676</v>
      </c>
      <c r="D1448">
        <v>32</v>
      </c>
      <c r="E1448">
        <v>8</v>
      </c>
      <c r="F1448">
        <v>9</v>
      </c>
      <c r="G1448">
        <v>12</v>
      </c>
      <c r="H1448" t="s">
        <v>2814</v>
      </c>
      <c r="I144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48" t="s">
        <v>1453</v>
      </c>
      <c r="K1448" t="str">
        <f>RIGHT(Tabla2[[#This Row],[codigo_producto]],LEN(Tabla2[[#This Row],[codigo_producto]])-FIND("/",Tabla2[[#This Row],[codigo_producto]]))</f>
        <v>72380M67P005PK</v>
      </c>
      <c r="L1448" t="str">
        <f>LEFT(Tabla2[[#This Row],[codigo_producto]],FIND("/",Tabla2[[#This Row],[codigo_producto]])-1)</f>
        <v>1</v>
      </c>
      <c r="M144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49" spans="1:13" x14ac:dyDescent="0.25">
      <c r="A1449" t="s">
        <v>4264</v>
      </c>
      <c r="B1449" t="s">
        <v>2677</v>
      </c>
      <c r="C1449" t="s">
        <v>2677</v>
      </c>
      <c r="D1449">
        <v>32</v>
      </c>
      <c r="E1449">
        <v>8</v>
      </c>
      <c r="F1449">
        <v>9</v>
      </c>
      <c r="G1449">
        <v>12</v>
      </c>
      <c r="H1449" t="s">
        <v>2814</v>
      </c>
      <c r="I144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49" t="s">
        <v>1454</v>
      </c>
      <c r="K1449" t="str">
        <f>RIGHT(Tabla2[[#This Row],[codigo_producto]],LEN(Tabla2[[#This Row],[codigo_producto]])-FIND("/",Tabla2[[#This Row],[codigo_producto]]))</f>
        <v>72811M81R00000</v>
      </c>
      <c r="L1449" t="str">
        <f>LEFT(Tabla2[[#This Row],[codigo_producto]],FIND("/",Tabla2[[#This Row],[codigo_producto]])-1)</f>
        <v>1</v>
      </c>
      <c r="M144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50" spans="1:13" x14ac:dyDescent="0.25">
      <c r="A1450" t="s">
        <v>4265</v>
      </c>
      <c r="B1450" t="s">
        <v>2104</v>
      </c>
      <c r="C1450" t="s">
        <v>2104</v>
      </c>
      <c r="D1450">
        <v>32</v>
      </c>
      <c r="E1450">
        <v>8</v>
      </c>
      <c r="F1450">
        <v>9</v>
      </c>
      <c r="G1450">
        <v>12</v>
      </c>
      <c r="H1450" t="s">
        <v>2814</v>
      </c>
      <c r="I145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50" t="s">
        <v>1455</v>
      </c>
      <c r="K1450" t="str">
        <f>RIGHT(Tabla2[[#This Row],[codigo_producto]],LEN(Tabla2[[#This Row],[codigo_producto]])-FIND("/",Tabla2[[#This Row],[codigo_producto]]))</f>
        <v>95141M55R30000</v>
      </c>
      <c r="L1450" t="str">
        <f>LEFT(Tabla2[[#This Row],[codigo_producto]],FIND("/",Tabla2[[#This Row],[codigo_producto]])-1)</f>
        <v>1</v>
      </c>
      <c r="M145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51" spans="1:13" x14ac:dyDescent="0.25">
      <c r="A1451" t="s">
        <v>4266</v>
      </c>
      <c r="B1451" t="s">
        <v>2550</v>
      </c>
      <c r="C1451" t="s">
        <v>2550</v>
      </c>
      <c r="D1451">
        <v>32</v>
      </c>
      <c r="E1451">
        <v>8</v>
      </c>
      <c r="F1451">
        <v>9</v>
      </c>
      <c r="G1451">
        <v>12</v>
      </c>
      <c r="H1451" t="s">
        <v>2814</v>
      </c>
      <c r="I145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51" t="s">
        <v>1456</v>
      </c>
      <c r="K1451" t="str">
        <f>RIGHT(Tabla2[[#This Row],[codigo_producto]],LEN(Tabla2[[#This Row],[codigo_producto]])-FIND("/",Tabla2[[#This Row],[codigo_producto]]))</f>
        <v>95141M60M00000</v>
      </c>
      <c r="L1451" t="str">
        <f>LEFT(Tabla2[[#This Row],[codigo_producto]],FIND("/",Tabla2[[#This Row],[codigo_producto]])-1)</f>
        <v>1</v>
      </c>
      <c r="M145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52" spans="1:13" x14ac:dyDescent="0.25">
      <c r="A1452" t="s">
        <v>4267</v>
      </c>
      <c r="B1452" t="s">
        <v>1822</v>
      </c>
      <c r="C1452" t="s">
        <v>1822</v>
      </c>
      <c r="D1452">
        <v>32</v>
      </c>
      <c r="E1452">
        <v>8</v>
      </c>
      <c r="F1452">
        <v>9</v>
      </c>
      <c r="G1452">
        <v>12</v>
      </c>
      <c r="H1452" t="s">
        <v>2814</v>
      </c>
      <c r="I145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52" t="s">
        <v>1457</v>
      </c>
      <c r="K1452" t="str">
        <f>RIGHT(Tabla2[[#This Row],[codigo_producto]],LEN(Tabla2[[#This Row],[codigo_producto]])-FIND("/",Tabla2[[#This Row],[codigo_producto]]))</f>
        <v>95141M62S00000</v>
      </c>
      <c r="L1452" t="str">
        <f>LEFT(Tabla2[[#This Row],[codigo_producto]],FIND("/",Tabla2[[#This Row],[codigo_producto]])-1)</f>
        <v>1</v>
      </c>
      <c r="M145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53" spans="1:13" x14ac:dyDescent="0.25">
      <c r="A1453" t="s">
        <v>4268</v>
      </c>
      <c r="B1453" t="s">
        <v>2482</v>
      </c>
      <c r="C1453" t="s">
        <v>2482</v>
      </c>
      <c r="D1453">
        <v>32</v>
      </c>
      <c r="E1453">
        <v>8</v>
      </c>
      <c r="F1453">
        <v>9</v>
      </c>
      <c r="G1453">
        <v>12</v>
      </c>
      <c r="H1453" t="s">
        <v>2814</v>
      </c>
      <c r="I145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53" t="s">
        <v>1458</v>
      </c>
      <c r="K1453" t="str">
        <f>RIGHT(Tabla2[[#This Row],[codigo_producto]],LEN(Tabla2[[#This Row],[codigo_producto]])-FIND("/",Tabla2[[#This Row],[codigo_producto]]))</f>
        <v>95141M65L00000</v>
      </c>
      <c r="L1453" t="str">
        <f>LEFT(Tabla2[[#This Row],[codigo_producto]],FIND("/",Tabla2[[#This Row],[codigo_producto]])-1)</f>
        <v>1</v>
      </c>
      <c r="M145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54" spans="1:13" x14ac:dyDescent="0.25">
      <c r="A1454" t="s">
        <v>4269</v>
      </c>
      <c r="B1454" t="s">
        <v>2550</v>
      </c>
      <c r="C1454" t="s">
        <v>2550</v>
      </c>
      <c r="D1454">
        <v>32</v>
      </c>
      <c r="E1454">
        <v>8</v>
      </c>
      <c r="F1454">
        <v>9</v>
      </c>
      <c r="G1454">
        <v>12</v>
      </c>
      <c r="H1454" t="s">
        <v>2814</v>
      </c>
      <c r="I145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54" t="s">
        <v>1459</v>
      </c>
      <c r="K1454" t="str">
        <f>RIGHT(Tabla2[[#This Row],[codigo_producto]],LEN(Tabla2[[#This Row],[codigo_producto]])-FIND("/",Tabla2[[#This Row],[codigo_producto]]))</f>
        <v>95141M68P00000</v>
      </c>
      <c r="L1454" t="str">
        <f>LEFT(Tabla2[[#This Row],[codigo_producto]],FIND("/",Tabla2[[#This Row],[codigo_producto]])-1)</f>
        <v>1</v>
      </c>
      <c r="M145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55" spans="1:13" x14ac:dyDescent="0.25">
      <c r="A1455" t="s">
        <v>4270</v>
      </c>
      <c r="B1455" t="s">
        <v>1729</v>
      </c>
      <c r="C1455" t="s">
        <v>1729</v>
      </c>
      <c r="D1455">
        <v>32</v>
      </c>
      <c r="E1455">
        <v>8</v>
      </c>
      <c r="F1455">
        <v>9</v>
      </c>
      <c r="G1455">
        <v>12</v>
      </c>
      <c r="H1455" t="s">
        <v>2814</v>
      </c>
      <c r="I145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55" t="s">
        <v>1460</v>
      </c>
      <c r="K1455" t="str">
        <f>RIGHT(Tabla2[[#This Row],[codigo_producto]],LEN(Tabla2[[#This Row],[codigo_producto]])-FIND("/",Tabla2[[#This Row],[codigo_producto]]))</f>
        <v>95850M55R00000</v>
      </c>
      <c r="L1455" t="str">
        <f>LEFT(Tabla2[[#This Row],[codigo_producto]],FIND("/",Tabla2[[#This Row],[codigo_producto]])-1)</f>
        <v>1</v>
      </c>
      <c r="M145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56" spans="1:13" x14ac:dyDescent="0.25">
      <c r="A1456" t="s">
        <v>4271</v>
      </c>
      <c r="B1456" t="s">
        <v>1799</v>
      </c>
      <c r="C1456" t="s">
        <v>1799</v>
      </c>
      <c r="D1456">
        <v>32</v>
      </c>
      <c r="E1456">
        <v>8</v>
      </c>
      <c r="F1456">
        <v>9</v>
      </c>
      <c r="G1456">
        <v>12</v>
      </c>
      <c r="H1456" t="s">
        <v>2814</v>
      </c>
      <c r="I145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56" t="s">
        <v>1461</v>
      </c>
      <c r="K1456" t="str">
        <f>RIGHT(Tabla2[[#This Row],[codigo_producto]],LEN(Tabla2[[#This Row],[codigo_producto]])-FIND("/",Tabla2[[#This Row],[codigo_producto]]))</f>
        <v>95850M68P00000</v>
      </c>
      <c r="L1456" t="str">
        <f>LEFT(Tabla2[[#This Row],[codigo_producto]],FIND("/",Tabla2[[#This Row],[codigo_producto]])-1)</f>
        <v>1</v>
      </c>
      <c r="M145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57" spans="1:13" x14ac:dyDescent="0.25">
      <c r="A1457" t="s">
        <v>4272</v>
      </c>
      <c r="B1457" t="s">
        <v>2463</v>
      </c>
      <c r="C1457" t="s">
        <v>2463</v>
      </c>
      <c r="D1457">
        <v>32</v>
      </c>
      <c r="E1457">
        <v>8</v>
      </c>
      <c r="F1457">
        <v>9</v>
      </c>
      <c r="G1457">
        <v>12</v>
      </c>
      <c r="H1457" t="s">
        <v>2814</v>
      </c>
      <c r="I145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57" t="s">
        <v>1462</v>
      </c>
      <c r="K1457" t="str">
        <f>RIGHT(Tabla2[[#This Row],[codigo_producto]],LEN(Tabla2[[#This Row],[codigo_producto]])-FIND("/",Tabla2[[#This Row],[codigo_producto]]))</f>
        <v>95850M79M00000</v>
      </c>
      <c r="L1457" t="str">
        <f>LEFT(Tabla2[[#This Row],[codigo_producto]],FIND("/",Tabla2[[#This Row],[codigo_producto]])-1)</f>
        <v>1</v>
      </c>
      <c r="M145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58" spans="1:13" x14ac:dyDescent="0.25">
      <c r="A1458" t="s">
        <v>4273</v>
      </c>
      <c r="B1458" t="s">
        <v>1729</v>
      </c>
      <c r="C1458" t="s">
        <v>1729</v>
      </c>
      <c r="D1458">
        <v>32</v>
      </c>
      <c r="E1458">
        <v>8</v>
      </c>
      <c r="F1458">
        <v>9</v>
      </c>
      <c r="G1458">
        <v>12</v>
      </c>
      <c r="H1458" t="s">
        <v>2814</v>
      </c>
      <c r="I145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58" t="s">
        <v>1463</v>
      </c>
      <c r="K1458" t="str">
        <f>RIGHT(Tabla2[[#This Row],[codigo_producto]],LEN(Tabla2[[#This Row],[codigo_producto]])-FIND("/",Tabla2[[#This Row],[codigo_producto]]))</f>
        <v>95861M74L00000</v>
      </c>
      <c r="L1458" t="str">
        <f>LEFT(Tabla2[[#This Row],[codigo_producto]],FIND("/",Tabla2[[#This Row],[codigo_producto]])-1)</f>
        <v>1</v>
      </c>
      <c r="M145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59" spans="1:13" x14ac:dyDescent="0.25">
      <c r="A1459" t="s">
        <v>4274</v>
      </c>
      <c r="B1459" t="s">
        <v>2678</v>
      </c>
      <c r="C1459" t="s">
        <v>2678</v>
      </c>
      <c r="D1459">
        <v>32</v>
      </c>
      <c r="E1459">
        <v>8</v>
      </c>
      <c r="F1459">
        <v>9</v>
      </c>
      <c r="G1459">
        <v>12</v>
      </c>
      <c r="H1459" t="s">
        <v>2814</v>
      </c>
      <c r="I145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59" t="s">
        <v>1464</v>
      </c>
      <c r="K1459" t="str">
        <f>RIGHT(Tabla2[[#This Row],[codigo_producto]],LEN(Tabla2[[#This Row],[codigo_producto]])-FIND("/",Tabla2[[#This Row],[codigo_producto]]))</f>
        <v>99000M24120781</v>
      </c>
      <c r="L1459" t="str">
        <f>LEFT(Tabla2[[#This Row],[codigo_producto]],FIND("/",Tabla2[[#This Row],[codigo_producto]])-1)</f>
        <v>1</v>
      </c>
      <c r="M145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60" spans="1:13" x14ac:dyDescent="0.25">
      <c r="A1460" t="s">
        <v>4275</v>
      </c>
      <c r="B1460" t="s">
        <v>2679</v>
      </c>
      <c r="C1460" t="s">
        <v>2679</v>
      </c>
      <c r="D1460">
        <v>32</v>
      </c>
      <c r="E1460">
        <v>8</v>
      </c>
      <c r="F1460">
        <v>9</v>
      </c>
      <c r="G1460">
        <v>12</v>
      </c>
      <c r="H1460" t="s">
        <v>2814</v>
      </c>
      <c r="I146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60" t="s">
        <v>1465</v>
      </c>
      <c r="K1460" t="str">
        <f>RIGHT(Tabla2[[#This Row],[codigo_producto]],LEN(Tabla2[[#This Row],[codigo_producto]])-FIND("/",Tabla2[[#This Row],[codigo_producto]]))</f>
        <v>99000M24121036</v>
      </c>
      <c r="L1460" t="str">
        <f>LEFT(Tabla2[[#This Row],[codigo_producto]],FIND("/",Tabla2[[#This Row],[codigo_producto]])-1)</f>
        <v>1</v>
      </c>
      <c r="M146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61" spans="1:13" x14ac:dyDescent="0.25">
      <c r="A1461" t="s">
        <v>4276</v>
      </c>
      <c r="B1461" t="s">
        <v>2680</v>
      </c>
      <c r="C1461" t="s">
        <v>2680</v>
      </c>
      <c r="D1461">
        <v>32</v>
      </c>
      <c r="E1461">
        <v>8</v>
      </c>
      <c r="F1461">
        <v>9</v>
      </c>
      <c r="G1461">
        <v>12</v>
      </c>
      <c r="H1461" t="s">
        <v>2814</v>
      </c>
      <c r="I146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61" t="s">
        <v>1466</v>
      </c>
      <c r="K1461" t="str">
        <f>RIGHT(Tabla2[[#This Row],[codigo_producto]],LEN(Tabla2[[#This Row],[codigo_producto]])-FIND("/",Tabla2[[#This Row],[codigo_producto]]))</f>
        <v>99000M24121041</v>
      </c>
      <c r="L1461" t="str">
        <f>LEFT(Tabla2[[#This Row],[codigo_producto]],FIND("/",Tabla2[[#This Row],[codigo_producto]])-1)</f>
        <v>1</v>
      </c>
      <c r="M146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62" spans="1:13" x14ac:dyDescent="0.25">
      <c r="A1462" t="s">
        <v>4277</v>
      </c>
      <c r="B1462" t="s">
        <v>2681</v>
      </c>
      <c r="C1462" t="s">
        <v>2681</v>
      </c>
      <c r="D1462">
        <v>32</v>
      </c>
      <c r="E1462">
        <v>8</v>
      </c>
      <c r="F1462">
        <v>9</v>
      </c>
      <c r="G1462">
        <v>12</v>
      </c>
      <c r="H1462" t="s">
        <v>2814</v>
      </c>
      <c r="I146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62" t="s">
        <v>1467</v>
      </c>
      <c r="K1462" t="str">
        <f>RIGHT(Tabla2[[#This Row],[codigo_producto]],LEN(Tabla2[[#This Row],[codigo_producto]])-FIND("/",Tabla2[[#This Row],[codigo_producto]]))</f>
        <v>99000M24121044</v>
      </c>
      <c r="L1462" t="str">
        <f>LEFT(Tabla2[[#This Row],[codigo_producto]],FIND("/",Tabla2[[#This Row],[codigo_producto]])-1)</f>
        <v>1</v>
      </c>
      <c r="M146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63" spans="1:13" x14ac:dyDescent="0.25">
      <c r="A1463" t="s">
        <v>4278</v>
      </c>
      <c r="B1463" t="s">
        <v>2682</v>
      </c>
      <c r="C1463" t="s">
        <v>2682</v>
      </c>
      <c r="D1463">
        <v>32</v>
      </c>
      <c r="E1463">
        <v>13</v>
      </c>
      <c r="F1463">
        <v>9</v>
      </c>
      <c r="G1463">
        <v>12</v>
      </c>
      <c r="H1463" t="s">
        <v>2814</v>
      </c>
      <c r="I146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63" t="s">
        <v>1468</v>
      </c>
      <c r="K1463" t="str">
        <f>RIGHT(Tabla2[[#This Row],[codigo_producto]],LEN(Tabla2[[#This Row],[codigo_producto]])-FIND("/",Tabla2[[#This Row],[codigo_producto]]))</f>
        <v>00720 118 101</v>
      </c>
      <c r="L1463" t="str">
        <f>LEFT(Tabla2[[#This Row],[codigo_producto]],FIND("/",Tabla2[[#This Row],[codigo_producto]])-1)</f>
        <v>10</v>
      </c>
      <c r="M146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464" spans="1:13" x14ac:dyDescent="0.25">
      <c r="A1464" t="s">
        <v>4279</v>
      </c>
      <c r="B1464" t="s">
        <v>2683</v>
      </c>
      <c r="C1464" t="s">
        <v>2683</v>
      </c>
      <c r="D1464">
        <v>32</v>
      </c>
      <c r="E1464">
        <v>13</v>
      </c>
      <c r="F1464">
        <v>9</v>
      </c>
      <c r="G1464">
        <v>12</v>
      </c>
      <c r="H1464" t="s">
        <v>2814</v>
      </c>
      <c r="I146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64" t="s">
        <v>1469</v>
      </c>
      <c r="K1464" t="str">
        <f>RIGHT(Tabla2[[#This Row],[codigo_producto]],LEN(Tabla2[[#This Row],[codigo_producto]])-FIND("/",Tabla2[[#This Row],[codigo_producto]]))</f>
        <v>00720 118 104</v>
      </c>
      <c r="L1464" t="str">
        <f>LEFT(Tabla2[[#This Row],[codigo_producto]],FIND("/",Tabla2[[#This Row],[codigo_producto]])-1)</f>
        <v>10</v>
      </c>
      <c r="M146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465" spans="1:13" x14ac:dyDescent="0.25">
      <c r="A1465" t="s">
        <v>4280</v>
      </c>
      <c r="B1465" t="s">
        <v>2684</v>
      </c>
      <c r="C1465" t="s">
        <v>2684</v>
      </c>
      <c r="D1465">
        <v>32</v>
      </c>
      <c r="E1465">
        <v>13</v>
      </c>
      <c r="F1465">
        <v>9</v>
      </c>
      <c r="G1465">
        <v>12</v>
      </c>
      <c r="H1465" t="s">
        <v>2814</v>
      </c>
      <c r="I146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65" t="s">
        <v>1470</v>
      </c>
      <c r="K1465" t="str">
        <f>RIGHT(Tabla2[[#This Row],[codigo_producto]],LEN(Tabla2[[#This Row],[codigo_producto]])-FIND("/",Tabla2[[#This Row],[codigo_producto]]))</f>
        <v>00890 321 186</v>
      </c>
      <c r="L1465" t="str">
        <f>LEFT(Tabla2[[#This Row],[codigo_producto]],FIND("/",Tabla2[[#This Row],[codigo_producto]])-1)</f>
        <v>10</v>
      </c>
      <c r="M146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466" spans="1:13" x14ac:dyDescent="0.25">
      <c r="A1466" t="s">
        <v>4281</v>
      </c>
      <c r="B1466" t="s">
        <v>2685</v>
      </c>
      <c r="C1466" t="s">
        <v>2685</v>
      </c>
      <c r="D1466">
        <v>32</v>
      </c>
      <c r="E1466">
        <v>13</v>
      </c>
      <c r="F1466">
        <v>9</v>
      </c>
      <c r="G1466">
        <v>12</v>
      </c>
      <c r="H1466" t="s">
        <v>2814</v>
      </c>
      <c r="I146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66" t="s">
        <v>1471</v>
      </c>
      <c r="K1466" t="str">
        <f>RIGHT(Tabla2[[#This Row],[codigo_producto]],LEN(Tabla2[[#This Row],[codigo_producto]])-FIND("/",Tabla2[[#This Row],[codigo_producto]]))</f>
        <v>00892 075 002</v>
      </c>
      <c r="L1466" t="str">
        <f>LEFT(Tabla2[[#This Row],[codigo_producto]],FIND("/",Tabla2[[#This Row],[codigo_producto]])-1)</f>
        <v>10</v>
      </c>
      <c r="M146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467" spans="1:13" x14ac:dyDescent="0.25">
      <c r="A1467" t="s">
        <v>4282</v>
      </c>
      <c r="B1467" t="s">
        <v>2686</v>
      </c>
      <c r="C1467" t="s">
        <v>2686</v>
      </c>
      <c r="D1467">
        <v>32</v>
      </c>
      <c r="E1467">
        <v>13</v>
      </c>
      <c r="F1467">
        <v>9</v>
      </c>
      <c r="G1467">
        <v>12</v>
      </c>
      <c r="H1467" t="s">
        <v>2814</v>
      </c>
      <c r="I146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67" t="s">
        <v>1472</v>
      </c>
      <c r="K1467" t="str">
        <f>RIGHT(Tabla2[[#This Row],[codigo_producto]],LEN(Tabla2[[#This Row],[codigo_producto]])-FIND("/",Tabla2[[#This Row],[codigo_producto]]))</f>
        <v>00893 100 300</v>
      </c>
      <c r="L1467" t="str">
        <f>LEFT(Tabla2[[#This Row],[codigo_producto]],FIND("/",Tabla2[[#This Row],[codigo_producto]])-1)</f>
        <v>10</v>
      </c>
      <c r="M146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468" spans="1:13" x14ac:dyDescent="0.25">
      <c r="A1468" t="s">
        <v>4283</v>
      </c>
      <c r="B1468" t="s">
        <v>2687</v>
      </c>
      <c r="C1468" t="s">
        <v>2687</v>
      </c>
      <c r="D1468">
        <v>32</v>
      </c>
      <c r="E1468">
        <v>13</v>
      </c>
      <c r="F1468">
        <v>9</v>
      </c>
      <c r="G1468">
        <v>12</v>
      </c>
      <c r="H1468" t="s">
        <v>2814</v>
      </c>
      <c r="I146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68" t="s">
        <v>1473</v>
      </c>
      <c r="K1468" t="str">
        <f>RIGHT(Tabla2[[#This Row],[codigo_producto]],LEN(Tabla2[[#This Row],[codigo_producto]])-FIND("/",Tabla2[[#This Row],[codigo_producto]]))</f>
        <v>10893 114 114</v>
      </c>
      <c r="L1468" t="str">
        <f>LEFT(Tabla2[[#This Row],[codigo_producto]],FIND("/",Tabla2[[#This Row],[codigo_producto]])-1)</f>
        <v>10</v>
      </c>
      <c r="M146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469" spans="1:13" x14ac:dyDescent="0.25">
      <c r="A1469" t="s">
        <v>4284</v>
      </c>
      <c r="B1469" t="s">
        <v>2688</v>
      </c>
      <c r="C1469" t="s">
        <v>2688</v>
      </c>
      <c r="D1469">
        <v>32</v>
      </c>
      <c r="E1469">
        <v>13</v>
      </c>
      <c r="F1469">
        <v>9</v>
      </c>
      <c r="G1469">
        <v>12</v>
      </c>
      <c r="H1469" t="s">
        <v>2814</v>
      </c>
      <c r="I146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69" t="s">
        <v>1474</v>
      </c>
      <c r="K1469" t="str">
        <f>RIGHT(Tabla2[[#This Row],[codigo_producto]],LEN(Tabla2[[#This Row],[codigo_producto]])-FIND("/",Tabla2[[#This Row],[codigo_producto]]))</f>
        <v>30720 718 011</v>
      </c>
      <c r="L1469" t="str">
        <f>LEFT(Tabla2[[#This Row],[codigo_producto]],FIND("/",Tabla2[[#This Row],[codigo_producto]])-1)</f>
        <v>10</v>
      </c>
      <c r="M146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470" spans="1:13" x14ac:dyDescent="0.25">
      <c r="A1470" t="s">
        <v>4285</v>
      </c>
      <c r="B1470" t="s">
        <v>2689</v>
      </c>
      <c r="C1470" t="s">
        <v>2689</v>
      </c>
      <c r="D1470">
        <v>23</v>
      </c>
      <c r="E1470">
        <v>13</v>
      </c>
      <c r="F1470">
        <v>9</v>
      </c>
      <c r="G1470">
        <v>12</v>
      </c>
      <c r="H1470" t="s">
        <v>2819</v>
      </c>
      <c r="I147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23</v>
      </c>
      <c r="J1470" t="s">
        <v>1475</v>
      </c>
      <c r="K1470" t="str">
        <f>RIGHT(Tabla2[[#This Row],[codigo_producto]],LEN(Tabla2[[#This Row],[codigo_producto]])-FIND("/",Tabla2[[#This Row],[codigo_producto]]))</f>
        <v>AG00000Q85EFB</v>
      </c>
      <c r="L1470" t="str">
        <f>LEFT(Tabla2[[#This Row],[codigo_producto]],FIND("/",Tabla2[[#This Row],[codigo_producto]])-1)</f>
        <v>10</v>
      </c>
      <c r="M147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471" spans="1:13" x14ac:dyDescent="0.25">
      <c r="A1471" t="s">
        <v>4286</v>
      </c>
      <c r="B1471" t="s">
        <v>2690</v>
      </c>
      <c r="C1471" t="s">
        <v>2690</v>
      </c>
      <c r="D1471">
        <v>23</v>
      </c>
      <c r="E1471">
        <v>13</v>
      </c>
      <c r="F1471">
        <v>9</v>
      </c>
      <c r="G1471">
        <v>12</v>
      </c>
      <c r="H1471" t="s">
        <v>2819</v>
      </c>
      <c r="I147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23</v>
      </c>
      <c r="J1471" t="s">
        <v>1476</v>
      </c>
      <c r="K1471" t="str">
        <f>RIGHT(Tabla2[[#This Row],[codigo_producto]],LEN(Tabla2[[#This Row],[codigo_producto]])-FIND("/",Tabla2[[#This Row],[codigo_producto]]))</f>
        <v>AG00001346K01</v>
      </c>
      <c r="L1471" t="str">
        <f>LEFT(Tabla2[[#This Row],[codigo_producto]],FIND("/",Tabla2[[#This Row],[codigo_producto]])-1)</f>
        <v>10</v>
      </c>
      <c r="M147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472" spans="1:13" x14ac:dyDescent="0.25">
      <c r="A1472" t="s">
        <v>4287</v>
      </c>
      <c r="B1472" t="s">
        <v>2691</v>
      </c>
      <c r="C1472" t="s">
        <v>2691</v>
      </c>
      <c r="D1472">
        <v>23</v>
      </c>
      <c r="E1472">
        <v>13</v>
      </c>
      <c r="F1472">
        <v>9</v>
      </c>
      <c r="G1472">
        <v>12</v>
      </c>
      <c r="H1472" t="s">
        <v>2819</v>
      </c>
      <c r="I147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23</v>
      </c>
      <c r="J1472" t="s">
        <v>1477</v>
      </c>
      <c r="K1472" t="str">
        <f>RIGHT(Tabla2[[#This Row],[codigo_producto]],LEN(Tabla2[[#This Row],[codigo_producto]])-FIND("/",Tabla2[[#This Row],[codigo_producto]]))</f>
        <v>AG00001349K01</v>
      </c>
      <c r="L1472" t="str">
        <f>LEFT(Tabla2[[#This Row],[codigo_producto]],FIND("/",Tabla2[[#This Row],[codigo_producto]])-1)</f>
        <v>10</v>
      </c>
      <c r="M147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473" spans="1:13" x14ac:dyDescent="0.25">
      <c r="A1473" t="s">
        <v>4288</v>
      </c>
      <c r="B1473" t="s">
        <v>2692</v>
      </c>
      <c r="C1473" t="s">
        <v>2692</v>
      </c>
      <c r="D1473">
        <v>23</v>
      </c>
      <c r="E1473">
        <v>13</v>
      </c>
      <c r="F1473">
        <v>9</v>
      </c>
      <c r="G1473">
        <v>12</v>
      </c>
      <c r="H1473" t="s">
        <v>2819</v>
      </c>
      <c r="I147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23</v>
      </c>
      <c r="J1473" t="s">
        <v>1478</v>
      </c>
      <c r="K1473" t="str">
        <f>RIGHT(Tabla2[[#This Row],[codigo_producto]],LEN(Tabla2[[#This Row],[codigo_producto]])-FIND("/",Tabla2[[#This Row],[codigo_producto]]))</f>
        <v>AG00001351K01</v>
      </c>
      <c r="L1473" t="str">
        <f>LEFT(Tabla2[[#This Row],[codigo_producto]],FIND("/",Tabla2[[#This Row],[codigo_producto]])-1)</f>
        <v>10</v>
      </c>
      <c r="M147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474" spans="1:13" x14ac:dyDescent="0.25">
      <c r="A1474" t="s">
        <v>4289</v>
      </c>
      <c r="B1474" t="s">
        <v>2693</v>
      </c>
      <c r="C1474" t="s">
        <v>2693</v>
      </c>
      <c r="D1474">
        <v>23</v>
      </c>
      <c r="E1474">
        <v>13</v>
      </c>
      <c r="F1474">
        <v>9</v>
      </c>
      <c r="G1474">
        <v>12</v>
      </c>
      <c r="H1474" t="s">
        <v>2819</v>
      </c>
      <c r="I147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23</v>
      </c>
      <c r="J1474" t="s">
        <v>1479</v>
      </c>
      <c r="K1474" t="str">
        <f>RIGHT(Tabla2[[#This Row],[codigo_producto]],LEN(Tabla2[[#This Row],[codigo_producto]])-FIND("/",Tabla2[[#This Row],[codigo_producto]]))</f>
        <v>AG00001352K01</v>
      </c>
      <c r="L1474" t="str">
        <f>LEFT(Tabla2[[#This Row],[codigo_producto]],FIND("/",Tabla2[[#This Row],[codigo_producto]])-1)</f>
        <v>10</v>
      </c>
      <c r="M147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475" spans="1:13" x14ac:dyDescent="0.25">
      <c r="A1475" t="s">
        <v>4290</v>
      </c>
      <c r="B1475" t="s">
        <v>2694</v>
      </c>
      <c r="C1475" t="s">
        <v>2694</v>
      </c>
      <c r="D1475">
        <v>23</v>
      </c>
      <c r="E1475">
        <v>13</v>
      </c>
      <c r="F1475">
        <v>9</v>
      </c>
      <c r="G1475">
        <v>12</v>
      </c>
      <c r="H1475" t="s">
        <v>2819</v>
      </c>
      <c r="I147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23</v>
      </c>
      <c r="J1475" t="s">
        <v>1480</v>
      </c>
      <c r="K1475" t="str">
        <f>RIGHT(Tabla2[[#This Row],[codigo_producto]],LEN(Tabla2[[#This Row],[codigo_producto]])-FIND("/",Tabla2[[#This Row],[codigo_producto]]))</f>
        <v>AG00001353K01</v>
      </c>
      <c r="L1475" t="str">
        <f>LEFT(Tabla2[[#This Row],[codigo_producto]],FIND("/",Tabla2[[#This Row],[codigo_producto]])-1)</f>
        <v>10</v>
      </c>
      <c r="M147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476" spans="1:13" x14ac:dyDescent="0.25">
      <c r="A1476" t="s">
        <v>4078</v>
      </c>
      <c r="B1476" t="s">
        <v>2584</v>
      </c>
      <c r="C1476" t="s">
        <v>2584</v>
      </c>
      <c r="D1476">
        <v>23</v>
      </c>
      <c r="E1476">
        <v>13</v>
      </c>
      <c r="F1476">
        <v>9</v>
      </c>
      <c r="G1476">
        <v>12</v>
      </c>
      <c r="H1476" t="s">
        <v>2819</v>
      </c>
      <c r="I147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23</v>
      </c>
      <c r="J1476" t="s">
        <v>1481</v>
      </c>
      <c r="K1476" t="str">
        <f>RIGHT(Tabla2[[#This Row],[codigo_producto]],LEN(Tabla2[[#This Row],[codigo_producto]])-FIND("/",Tabla2[[#This Row],[codigo_producto]]))</f>
        <v>AG00001356K01</v>
      </c>
      <c r="L1476" t="str">
        <f>LEFT(Tabla2[[#This Row],[codigo_producto]],FIND("/",Tabla2[[#This Row],[codigo_producto]])-1)</f>
        <v>10</v>
      </c>
      <c r="M147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477" spans="1:13" x14ac:dyDescent="0.25">
      <c r="A1477" t="s">
        <v>4291</v>
      </c>
      <c r="B1477" t="s">
        <v>2695</v>
      </c>
      <c r="C1477" t="s">
        <v>2695</v>
      </c>
      <c r="D1477">
        <v>23</v>
      </c>
      <c r="E1477">
        <v>13</v>
      </c>
      <c r="F1477">
        <v>9</v>
      </c>
      <c r="G1477">
        <v>12</v>
      </c>
      <c r="H1477" t="s">
        <v>2819</v>
      </c>
      <c r="I147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23</v>
      </c>
      <c r="J1477" t="s">
        <v>1482</v>
      </c>
      <c r="K1477" t="str">
        <f>RIGHT(Tabla2[[#This Row],[codigo_producto]],LEN(Tabla2[[#This Row],[codigo_producto]])-FIND("/",Tabla2[[#This Row],[codigo_producto]]))</f>
        <v>AG00001359K01</v>
      </c>
      <c r="L1477" t="str">
        <f>LEFT(Tabla2[[#This Row],[codigo_producto]],FIND("/",Tabla2[[#This Row],[codigo_producto]])-1)</f>
        <v>10</v>
      </c>
      <c r="M147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478" spans="1:13" x14ac:dyDescent="0.25">
      <c r="A1478" t="s">
        <v>4292</v>
      </c>
      <c r="B1478" t="s">
        <v>2696</v>
      </c>
      <c r="C1478" t="s">
        <v>2696</v>
      </c>
      <c r="D1478">
        <v>23</v>
      </c>
      <c r="E1478">
        <v>13</v>
      </c>
      <c r="F1478">
        <v>9</v>
      </c>
      <c r="G1478">
        <v>12</v>
      </c>
      <c r="H1478" t="s">
        <v>2819</v>
      </c>
      <c r="I147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23</v>
      </c>
      <c r="J1478" t="s">
        <v>1483</v>
      </c>
      <c r="K1478" t="str">
        <f>RIGHT(Tabla2[[#This Row],[codigo_producto]],LEN(Tabla2[[#This Row],[codigo_producto]])-FIND("/",Tabla2[[#This Row],[codigo_producto]]))</f>
        <v>AG00001360K01</v>
      </c>
      <c r="L1478" t="str">
        <f>LEFT(Tabla2[[#This Row],[codigo_producto]],FIND("/",Tabla2[[#This Row],[codigo_producto]])-1)</f>
        <v>10</v>
      </c>
      <c r="M147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479" spans="1:13" x14ac:dyDescent="0.25">
      <c r="A1479" t="s">
        <v>4293</v>
      </c>
      <c r="B1479" t="s">
        <v>2697</v>
      </c>
      <c r="C1479" t="s">
        <v>2697</v>
      </c>
      <c r="D1479">
        <v>23</v>
      </c>
      <c r="E1479">
        <v>13</v>
      </c>
      <c r="F1479">
        <v>9</v>
      </c>
      <c r="G1479">
        <v>12</v>
      </c>
      <c r="H1479" t="s">
        <v>2819</v>
      </c>
      <c r="I147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23</v>
      </c>
      <c r="J1479" t="s">
        <v>1484</v>
      </c>
      <c r="K1479" t="str">
        <f>RIGHT(Tabla2[[#This Row],[codigo_producto]],LEN(Tabla2[[#This Row],[codigo_producto]])-FIND("/",Tabla2[[#This Row],[codigo_producto]]))</f>
        <v>AG00001361K01</v>
      </c>
      <c r="L1479" t="str">
        <f>LEFT(Tabla2[[#This Row],[codigo_producto]],FIND("/",Tabla2[[#This Row],[codigo_producto]])-1)</f>
        <v>10</v>
      </c>
      <c r="M147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480" spans="1:13" x14ac:dyDescent="0.25">
      <c r="A1480" t="s">
        <v>4294</v>
      </c>
      <c r="B1480" t="s">
        <v>2698</v>
      </c>
      <c r="C1480" t="s">
        <v>2698</v>
      </c>
      <c r="D1480">
        <v>23</v>
      </c>
      <c r="E1480">
        <v>13</v>
      </c>
      <c r="F1480">
        <v>9</v>
      </c>
      <c r="G1480">
        <v>12</v>
      </c>
      <c r="H1480" t="s">
        <v>2819</v>
      </c>
      <c r="I148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23</v>
      </c>
      <c r="J1480" t="s">
        <v>1485</v>
      </c>
      <c r="K1480" t="str">
        <f>RIGHT(Tabla2[[#This Row],[codigo_producto]],LEN(Tabla2[[#This Row],[codigo_producto]])-FIND("/",Tabla2[[#This Row],[codigo_producto]]))</f>
        <v>AG00001363K01</v>
      </c>
      <c r="L1480" t="str">
        <f>LEFT(Tabla2[[#This Row],[codigo_producto]],FIND("/",Tabla2[[#This Row],[codigo_producto]])-1)</f>
        <v>10</v>
      </c>
      <c r="M148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481" spans="1:13" x14ac:dyDescent="0.25">
      <c r="A1481" t="s">
        <v>4295</v>
      </c>
      <c r="B1481" t="s">
        <v>2699</v>
      </c>
      <c r="C1481" t="s">
        <v>2699</v>
      </c>
      <c r="D1481">
        <v>23</v>
      </c>
      <c r="E1481">
        <v>13</v>
      </c>
      <c r="F1481">
        <v>9</v>
      </c>
      <c r="G1481">
        <v>12</v>
      </c>
      <c r="H1481" t="s">
        <v>2819</v>
      </c>
      <c r="I148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23</v>
      </c>
      <c r="J1481" t="s">
        <v>1486</v>
      </c>
      <c r="K1481" t="str">
        <f>RIGHT(Tabla2[[#This Row],[codigo_producto]],LEN(Tabla2[[#This Row],[codigo_producto]])-FIND("/",Tabla2[[#This Row],[codigo_producto]]))</f>
        <v>AG00001379K00</v>
      </c>
      <c r="L1481" t="str">
        <f>LEFT(Tabla2[[#This Row],[codigo_producto]],FIND("/",Tabla2[[#This Row],[codigo_producto]])-1)</f>
        <v>10</v>
      </c>
      <c r="M148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482" spans="1:13" x14ac:dyDescent="0.25">
      <c r="A1482" t="s">
        <v>4296</v>
      </c>
      <c r="B1482" t="s">
        <v>2700</v>
      </c>
      <c r="C1482" t="s">
        <v>2700</v>
      </c>
      <c r="D1482">
        <v>23</v>
      </c>
      <c r="E1482">
        <v>13</v>
      </c>
      <c r="F1482">
        <v>9</v>
      </c>
      <c r="G1482">
        <v>12</v>
      </c>
      <c r="H1482" t="s">
        <v>2819</v>
      </c>
      <c r="I148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23</v>
      </c>
      <c r="J1482" t="s">
        <v>1487</v>
      </c>
      <c r="K1482" t="str">
        <f>RIGHT(Tabla2[[#This Row],[codigo_producto]],LEN(Tabla2[[#This Row],[codigo_producto]])-FIND("/",Tabla2[[#This Row],[codigo_producto]]))</f>
        <v>AG00001379K01</v>
      </c>
      <c r="L1482" t="str">
        <f>LEFT(Tabla2[[#This Row],[codigo_producto]],FIND("/",Tabla2[[#This Row],[codigo_producto]])-1)</f>
        <v>10</v>
      </c>
      <c r="M148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483" spans="1:13" x14ac:dyDescent="0.25">
      <c r="A1483" t="s">
        <v>4297</v>
      </c>
      <c r="B1483" t="s">
        <v>2701</v>
      </c>
      <c r="C1483" t="s">
        <v>2701</v>
      </c>
      <c r="D1483">
        <v>32</v>
      </c>
      <c r="E1483">
        <v>13</v>
      </c>
      <c r="F1483">
        <v>9</v>
      </c>
      <c r="G1483">
        <v>12</v>
      </c>
      <c r="H1483" t="s">
        <v>2814</v>
      </c>
      <c r="I148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83" t="s">
        <v>1488</v>
      </c>
      <c r="K1483" t="str">
        <f>RIGHT(Tabla2[[#This Row],[codigo_producto]],LEN(Tabla2[[#This Row],[codigo_producto]])-FIND("/",Tabla2[[#This Row],[codigo_producto]]))</f>
        <v>AG00001945000</v>
      </c>
      <c r="L1483" t="str">
        <f>LEFT(Tabla2[[#This Row],[codigo_producto]],FIND("/",Tabla2[[#This Row],[codigo_producto]])-1)</f>
        <v>10</v>
      </c>
      <c r="M148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484" spans="1:13" x14ac:dyDescent="0.25">
      <c r="A1484" t="s">
        <v>4298</v>
      </c>
      <c r="B1484" t="s">
        <v>2702</v>
      </c>
      <c r="C1484" t="s">
        <v>2702</v>
      </c>
      <c r="D1484">
        <v>32</v>
      </c>
      <c r="E1484">
        <v>13</v>
      </c>
      <c r="F1484">
        <v>9</v>
      </c>
      <c r="G1484">
        <v>12</v>
      </c>
      <c r="H1484" t="s">
        <v>2814</v>
      </c>
      <c r="I148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84" t="s">
        <v>1489</v>
      </c>
      <c r="K1484" t="str">
        <f>RIGHT(Tabla2[[#This Row],[codigo_producto]],LEN(Tabla2[[#This Row],[codigo_producto]])-FIND("/",Tabla2[[#This Row],[codigo_producto]]))</f>
        <v>ALARMASGF2657</v>
      </c>
      <c r="L1484" t="str">
        <f>LEFT(Tabla2[[#This Row],[codigo_producto]],FIND("/",Tabla2[[#This Row],[codigo_producto]])-1)</f>
        <v>10</v>
      </c>
      <c r="M148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485" spans="1:13" x14ac:dyDescent="0.25">
      <c r="A1485" t="s">
        <v>4299</v>
      </c>
      <c r="B1485" t="s">
        <v>2703</v>
      </c>
      <c r="C1485" t="s">
        <v>2703</v>
      </c>
      <c r="D1485">
        <v>32</v>
      </c>
      <c r="E1485">
        <v>13</v>
      </c>
      <c r="F1485">
        <v>9</v>
      </c>
      <c r="G1485">
        <v>12</v>
      </c>
      <c r="H1485" t="s">
        <v>2814</v>
      </c>
      <c r="I148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85" t="s">
        <v>1490</v>
      </c>
      <c r="K1485" t="str">
        <f>RIGHT(Tabla2[[#This Row],[codigo_producto]],LEN(Tabla2[[#This Row],[codigo_producto]])-FIND("/",Tabla2[[#This Row],[codigo_producto]]))</f>
        <v>FOCOS1-24V001</v>
      </c>
      <c r="L1485" t="str">
        <f>LEFT(Tabla2[[#This Row],[codigo_producto]],FIND("/",Tabla2[[#This Row],[codigo_producto]])-1)</f>
        <v>10</v>
      </c>
      <c r="M148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486" spans="1:13" x14ac:dyDescent="0.25">
      <c r="A1486" t="s">
        <v>4300</v>
      </c>
      <c r="B1486" t="s">
        <v>2704</v>
      </c>
      <c r="C1486" t="s">
        <v>2704</v>
      </c>
      <c r="D1486">
        <v>32</v>
      </c>
      <c r="E1486">
        <v>13</v>
      </c>
      <c r="F1486">
        <v>9</v>
      </c>
      <c r="G1486">
        <v>12</v>
      </c>
      <c r="H1486" t="s">
        <v>2814</v>
      </c>
      <c r="I148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86" t="s">
        <v>1491</v>
      </c>
      <c r="K1486" t="str">
        <f>RIGHT(Tabla2[[#This Row],[codigo_producto]],LEN(Tabla2[[#This Row],[codigo_producto]])-FIND("/",Tabla2[[#This Row],[codigo_producto]]))</f>
        <v>FOCOSSALON001</v>
      </c>
      <c r="L1486" t="str">
        <f>LEFT(Tabla2[[#This Row],[codigo_producto]],FIND("/",Tabla2[[#This Row],[codigo_producto]])-1)</f>
        <v>10</v>
      </c>
      <c r="M148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487" spans="1:13" x14ac:dyDescent="0.25">
      <c r="A1487" t="s">
        <v>4301</v>
      </c>
      <c r="B1487" t="s">
        <v>2705</v>
      </c>
      <c r="C1487" t="s">
        <v>2705</v>
      </c>
      <c r="D1487">
        <v>21</v>
      </c>
      <c r="E1487">
        <v>13</v>
      </c>
      <c r="F1487">
        <v>9</v>
      </c>
      <c r="G1487">
        <v>12</v>
      </c>
      <c r="H1487" t="s">
        <v>2820</v>
      </c>
      <c r="I148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21</v>
      </c>
      <c r="J1487" t="s">
        <v>1492</v>
      </c>
      <c r="K1487" t="str">
        <f>RIGHT(Tabla2[[#This Row],[codigo_producto]],LEN(Tabla2[[#This Row],[codigo_producto]])-FIND("/",Tabla2[[#This Row],[codigo_producto]]))</f>
        <v>KITSEGDZIRESD</v>
      </c>
      <c r="L1487" t="str">
        <f>LEFT(Tabla2[[#This Row],[codigo_producto]],FIND("/",Tabla2[[#This Row],[codigo_producto]])-1)</f>
        <v>10</v>
      </c>
      <c r="M148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488" spans="1:13" x14ac:dyDescent="0.25">
      <c r="A1488" t="s">
        <v>4066</v>
      </c>
      <c r="B1488" t="s">
        <v>2573</v>
      </c>
      <c r="C1488" t="s">
        <v>2573</v>
      </c>
      <c r="D1488">
        <v>32</v>
      </c>
      <c r="E1488">
        <v>13</v>
      </c>
      <c r="F1488">
        <v>9</v>
      </c>
      <c r="G1488">
        <v>12</v>
      </c>
      <c r="H1488" t="s">
        <v>2814</v>
      </c>
      <c r="I148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88" t="s">
        <v>1493</v>
      </c>
      <c r="K1488" t="str">
        <f>RIGHT(Tabla2[[#This Row],[codigo_producto]],LEN(Tabla2[[#This Row],[codigo_producto]])-FIND("/",Tabla2[[#This Row],[codigo_producto]]))</f>
        <v>KITSEGNWBT50P</v>
      </c>
      <c r="L1488" t="str">
        <f>LEFT(Tabla2[[#This Row],[codigo_producto]],FIND("/",Tabla2[[#This Row],[codigo_producto]])-1)</f>
        <v>10</v>
      </c>
      <c r="M148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489" spans="1:13" x14ac:dyDescent="0.25">
      <c r="A1489" t="s">
        <v>4302</v>
      </c>
      <c r="B1489" t="s">
        <v>2706</v>
      </c>
      <c r="C1489" t="s">
        <v>2706</v>
      </c>
      <c r="D1489">
        <v>21</v>
      </c>
      <c r="E1489">
        <v>13</v>
      </c>
      <c r="F1489">
        <v>9</v>
      </c>
      <c r="G1489">
        <v>12</v>
      </c>
      <c r="H1489" t="s">
        <v>2820</v>
      </c>
      <c r="I148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21</v>
      </c>
      <c r="J1489" t="s">
        <v>1494</v>
      </c>
      <c r="K1489" t="str">
        <f>RIGHT(Tabla2[[#This Row],[codigo_producto]],LEN(Tabla2[[#This Row],[codigo_producto]])-FIND("/",Tabla2[[#This Row],[codigo_producto]]))</f>
        <v>KITSEGSUZJIMN</v>
      </c>
      <c r="L1489" t="str">
        <f>LEFT(Tabla2[[#This Row],[codigo_producto]],FIND("/",Tabla2[[#This Row],[codigo_producto]])-1)</f>
        <v>10</v>
      </c>
      <c r="M148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490" spans="1:13" x14ac:dyDescent="0.25">
      <c r="A1490" t="s">
        <v>4303</v>
      </c>
      <c r="B1490" t="s">
        <v>2707</v>
      </c>
      <c r="C1490" t="s">
        <v>2707</v>
      </c>
      <c r="D1490">
        <v>22</v>
      </c>
      <c r="E1490">
        <v>13</v>
      </c>
      <c r="F1490">
        <v>9</v>
      </c>
      <c r="G1490">
        <v>12</v>
      </c>
      <c r="H1490" t="s">
        <v>2815</v>
      </c>
      <c r="I149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1490" t="s">
        <v>1495</v>
      </c>
      <c r="K1490" t="str">
        <f>RIGHT(Tabla2[[#This Row],[codigo_producto]],LEN(Tabla2[[#This Row],[codigo_producto]])-FIND("/",Tabla2[[#This Row],[codigo_producto]]))</f>
        <v>N1KITSEGNCS15</v>
      </c>
      <c r="L1490" t="str">
        <f>LEFT(Tabla2[[#This Row],[codigo_producto]],FIND("/",Tabla2[[#This Row],[codigo_producto]])-1)</f>
        <v>10</v>
      </c>
      <c r="M149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491" spans="1:13" x14ac:dyDescent="0.25">
      <c r="A1491" t="s">
        <v>4304</v>
      </c>
      <c r="B1491" t="s">
        <v>2708</v>
      </c>
      <c r="C1491" t="s">
        <v>2708</v>
      </c>
      <c r="D1491">
        <v>29</v>
      </c>
      <c r="E1491">
        <v>13</v>
      </c>
      <c r="F1491">
        <v>9</v>
      </c>
      <c r="G1491">
        <v>12</v>
      </c>
      <c r="H1491" t="s">
        <v>2817</v>
      </c>
      <c r="I149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29</v>
      </c>
      <c r="J1491" t="s">
        <v>1496</v>
      </c>
      <c r="K1491" t="str">
        <f>RIGHT(Tabla2[[#This Row],[codigo_producto]],LEN(Tabla2[[#This Row],[codigo_producto]])-FIND("/",Tabla2[[#This Row],[codigo_producto]]))</f>
        <v>TANQTOR12GLBI</v>
      </c>
      <c r="L1491" t="str">
        <f>LEFT(Tabla2[[#This Row],[codigo_producto]],FIND("/",Tabla2[[#This Row],[codigo_producto]])-1)</f>
        <v>10</v>
      </c>
      <c r="M149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492" spans="1:13" x14ac:dyDescent="0.25">
      <c r="A1492" t="s">
        <v>4305</v>
      </c>
      <c r="B1492" t="s">
        <v>2709</v>
      </c>
      <c r="C1492" t="s">
        <v>2709</v>
      </c>
      <c r="D1492">
        <v>31</v>
      </c>
      <c r="E1492">
        <v>9</v>
      </c>
      <c r="F1492">
        <v>9</v>
      </c>
      <c r="G1492">
        <v>12</v>
      </c>
      <c r="H1492" t="s">
        <v>2818</v>
      </c>
      <c r="I149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492" t="s">
        <v>1497</v>
      </c>
      <c r="K1492" t="str">
        <f>RIGHT(Tabla2[[#This Row],[codigo_producto]],LEN(Tabla2[[#This Row],[codigo_producto]])-FIND("/",Tabla2[[#This Row],[codigo_producto]]))</f>
        <v>1109100E898-2</v>
      </c>
      <c r="L1492" t="str">
        <f>LEFT(Tabla2[[#This Row],[codigo_producto]],FIND("/",Tabla2[[#This Row],[codigo_producto]])-1)</f>
        <v>11</v>
      </c>
      <c r="M149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9</v>
      </c>
    </row>
    <row r="1493" spans="1:13" x14ac:dyDescent="0.25">
      <c r="A1493" t="s">
        <v>4306</v>
      </c>
      <c r="B1493" t="s">
        <v>1715</v>
      </c>
      <c r="C1493" t="s">
        <v>1715</v>
      </c>
      <c r="D1493">
        <v>32</v>
      </c>
      <c r="E1493">
        <v>6</v>
      </c>
      <c r="F1493">
        <v>9</v>
      </c>
      <c r="G1493">
        <v>12</v>
      </c>
      <c r="H1493" t="s">
        <v>2814</v>
      </c>
      <c r="I149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93" t="s">
        <v>1498</v>
      </c>
      <c r="K1493" t="str">
        <f>RIGHT(Tabla2[[#This Row],[codigo_producto]],LEN(Tabla2[[#This Row],[codigo_producto]])-FIND("/",Tabla2[[#This Row],[codigo_producto]]))</f>
        <v>13780M65L00000</v>
      </c>
      <c r="L1493" t="str">
        <f>LEFT(Tabla2[[#This Row],[codigo_producto]],FIND("/",Tabla2[[#This Row],[codigo_producto]])-1)</f>
        <v>2</v>
      </c>
      <c r="M149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494" spans="1:13" x14ac:dyDescent="0.25">
      <c r="A1494" t="s">
        <v>4307</v>
      </c>
      <c r="B1494" t="s">
        <v>2710</v>
      </c>
      <c r="C1494" t="s">
        <v>2710</v>
      </c>
      <c r="D1494">
        <v>32</v>
      </c>
      <c r="E1494">
        <v>6</v>
      </c>
      <c r="F1494">
        <v>9</v>
      </c>
      <c r="G1494">
        <v>12</v>
      </c>
      <c r="H1494" t="s">
        <v>2814</v>
      </c>
      <c r="I149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94" t="s">
        <v>1499</v>
      </c>
      <c r="K1494" t="str">
        <f>RIGHT(Tabla2[[#This Row],[codigo_producto]],LEN(Tabla2[[#This Row],[codigo_producto]])-FIND("/",Tabla2[[#This Row],[codigo_producto]]))</f>
        <v>FOCOLAGRIAMBAR</v>
      </c>
      <c r="L1494" t="str">
        <f>LEFT(Tabla2[[#This Row],[codigo_producto]],FIND("/",Tabla2[[#This Row],[codigo_producto]])-1)</f>
        <v>2</v>
      </c>
      <c r="M149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495" spans="1:13" x14ac:dyDescent="0.25">
      <c r="A1495" t="s">
        <v>4308</v>
      </c>
      <c r="B1495" t="s">
        <v>2711</v>
      </c>
      <c r="C1495" t="s">
        <v>2711</v>
      </c>
      <c r="D1495">
        <v>22</v>
      </c>
      <c r="E1495">
        <v>6</v>
      </c>
      <c r="F1495">
        <v>9</v>
      </c>
      <c r="G1495">
        <v>12</v>
      </c>
      <c r="H1495" t="s">
        <v>2815</v>
      </c>
      <c r="I149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1495" t="s">
        <v>1500</v>
      </c>
      <c r="K1495" t="str">
        <f>RIGHT(Tabla2[[#This Row],[codigo_producto]],LEN(Tabla2[[#This Row],[codigo_producto]])-FIND("/",Tabla2[[#This Row],[codigo_producto]]))</f>
        <v>N1KITSEGBT50CH</v>
      </c>
      <c r="L1495" t="str">
        <f>LEFT(Tabla2[[#This Row],[codigo_producto]],FIND("/",Tabla2[[#This Row],[codigo_producto]])-1)</f>
        <v>2</v>
      </c>
      <c r="M149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496" spans="1:13" x14ac:dyDescent="0.25">
      <c r="A1496" t="s">
        <v>4309</v>
      </c>
      <c r="B1496" t="s">
        <v>2712</v>
      </c>
      <c r="C1496" t="s">
        <v>2712</v>
      </c>
      <c r="D1496">
        <v>32</v>
      </c>
      <c r="E1496">
        <v>3</v>
      </c>
      <c r="F1496">
        <v>9</v>
      </c>
      <c r="G1496">
        <v>12</v>
      </c>
      <c r="H1496" t="s">
        <v>2814</v>
      </c>
      <c r="I149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96" t="s">
        <v>1501</v>
      </c>
      <c r="K1496" t="str">
        <f>RIGHT(Tabla2[[#This Row],[codigo_producto]],LEN(Tabla2[[#This Row],[codigo_producto]])-FIND("/",Tabla2[[#This Row],[codigo_producto]]))</f>
        <v>1111402XED96CL</v>
      </c>
      <c r="L1496" t="str">
        <f>LEFT(Tabla2[[#This Row],[codigo_producto]],FIND("/",Tabla2[[#This Row],[codigo_producto]])-1)</f>
        <v>5</v>
      </c>
      <c r="M149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497" spans="1:13" x14ac:dyDescent="0.25">
      <c r="A1497" t="s">
        <v>4310</v>
      </c>
      <c r="B1497" t="s">
        <v>2713</v>
      </c>
      <c r="C1497" t="s">
        <v>2713</v>
      </c>
      <c r="D1497">
        <v>22</v>
      </c>
      <c r="E1497">
        <v>3</v>
      </c>
      <c r="F1497">
        <v>9</v>
      </c>
      <c r="G1497">
        <v>12</v>
      </c>
      <c r="H1497" t="s">
        <v>2815</v>
      </c>
      <c r="I149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1497" t="s">
        <v>1502</v>
      </c>
      <c r="K1497" t="str">
        <f>RIGHT(Tabla2[[#This Row],[codigo_producto]],LEN(Tabla2[[#This Row],[codigo_producto]])-FIND("/",Tabla2[[#This Row],[codigo_producto]]))</f>
        <v>SEGLLANWINGLE5</v>
      </c>
      <c r="L1497" t="str">
        <f>LEFT(Tabla2[[#This Row],[codigo_producto]],FIND("/",Tabla2[[#This Row],[codigo_producto]])-1)</f>
        <v>5</v>
      </c>
      <c r="M149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498" spans="1:13" x14ac:dyDescent="0.25">
      <c r="A1498" t="s">
        <v>4311</v>
      </c>
      <c r="B1498" t="s">
        <v>1798</v>
      </c>
      <c r="C1498" t="s">
        <v>1798</v>
      </c>
      <c r="D1498">
        <v>32</v>
      </c>
      <c r="E1498">
        <v>3</v>
      </c>
      <c r="F1498">
        <v>9</v>
      </c>
      <c r="G1498">
        <v>12</v>
      </c>
      <c r="H1498" t="s">
        <v>2814</v>
      </c>
      <c r="I149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98" t="s">
        <v>1503</v>
      </c>
      <c r="K1498" t="str">
        <f>RIGHT(Tabla2[[#This Row],[codigo_producto]],LEN(Tabla2[[#This Row],[codigo_producto]])-FIND("/",Tabla2[[#This Row],[codigo_producto]]))</f>
        <v>ZM015B11601307</v>
      </c>
      <c r="L1498" t="str">
        <f>LEFT(Tabla2[[#This Row],[codigo_producto]],FIND("/",Tabla2[[#This Row],[codigo_producto]])-1)</f>
        <v>5</v>
      </c>
      <c r="M149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499" spans="1:13" x14ac:dyDescent="0.25">
      <c r="A1499" t="s">
        <v>4312</v>
      </c>
      <c r="B1499" t="s">
        <v>1714</v>
      </c>
      <c r="C1499" t="s">
        <v>1714</v>
      </c>
      <c r="D1499">
        <v>32</v>
      </c>
      <c r="E1499">
        <v>4</v>
      </c>
      <c r="F1499">
        <v>9</v>
      </c>
      <c r="G1499">
        <v>12</v>
      </c>
      <c r="H1499" t="s">
        <v>2814</v>
      </c>
      <c r="I149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99" t="s">
        <v>1504</v>
      </c>
      <c r="K1499" t="str">
        <f>RIGHT(Tabla2[[#This Row],[codigo_producto]],LEN(Tabla2[[#This Row],[codigo_producto]])-FIND("/",Tabla2[[#This Row],[codigo_producto]]))</f>
        <v>1109110XKU00A</v>
      </c>
      <c r="L1499" t="str">
        <f>LEFT(Tabla2[[#This Row],[codigo_producto]],FIND("/",Tabla2[[#This Row],[codigo_producto]])-1)</f>
        <v>58</v>
      </c>
      <c r="M149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4</v>
      </c>
    </row>
    <row r="1500" spans="1:13" x14ac:dyDescent="0.25">
      <c r="A1500" t="s">
        <v>4313</v>
      </c>
      <c r="B1500" t="s">
        <v>2714</v>
      </c>
      <c r="C1500" t="s">
        <v>2714</v>
      </c>
      <c r="D1500">
        <v>32</v>
      </c>
      <c r="E1500">
        <v>4</v>
      </c>
      <c r="F1500">
        <v>9</v>
      </c>
      <c r="G1500">
        <v>12</v>
      </c>
      <c r="H1500" t="s">
        <v>2814</v>
      </c>
      <c r="I150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00" t="s">
        <v>1505</v>
      </c>
      <c r="K1500" t="str">
        <f>RIGHT(Tabla2[[#This Row],[codigo_producto]],LEN(Tabla2[[#This Row],[codigo_producto]])-FIND("/",Tabla2[[#This Row],[codigo_producto]]))</f>
        <v>1701030ACM51A</v>
      </c>
      <c r="L1500" t="str">
        <f>LEFT(Tabla2[[#This Row],[codigo_producto]],FIND("/",Tabla2[[#This Row],[codigo_producto]])-1)</f>
        <v>58</v>
      </c>
      <c r="M150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4</v>
      </c>
    </row>
    <row r="1501" spans="1:13" x14ac:dyDescent="0.25">
      <c r="A1501" t="s">
        <v>4314</v>
      </c>
      <c r="B1501" t="s">
        <v>2715</v>
      </c>
      <c r="C1501" t="s">
        <v>2715</v>
      </c>
      <c r="D1501">
        <v>32</v>
      </c>
      <c r="E1501">
        <v>4</v>
      </c>
      <c r="F1501">
        <v>9</v>
      </c>
      <c r="G1501">
        <v>12</v>
      </c>
      <c r="H1501" t="s">
        <v>2814</v>
      </c>
      <c r="I150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01" t="s">
        <v>1506</v>
      </c>
      <c r="K1501" t="str">
        <f>RIGHT(Tabla2[[#This Row],[codigo_producto]],LEN(Tabla2[[#This Row],[codigo_producto]])-FIND("/",Tabla2[[#This Row],[codigo_producto]]))</f>
        <v>1701040ACM51A</v>
      </c>
      <c r="L1501" t="str">
        <f>LEFT(Tabla2[[#This Row],[codigo_producto]],FIND("/",Tabla2[[#This Row],[codigo_producto]])-1)</f>
        <v>58</v>
      </c>
      <c r="M150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4</v>
      </c>
    </row>
    <row r="1502" spans="1:13" x14ac:dyDescent="0.25">
      <c r="A1502" t="s">
        <v>4315</v>
      </c>
      <c r="B1502" t="s">
        <v>2716</v>
      </c>
      <c r="C1502" t="s">
        <v>2716</v>
      </c>
      <c r="D1502">
        <v>32</v>
      </c>
      <c r="E1502">
        <v>4</v>
      </c>
      <c r="F1502">
        <v>9</v>
      </c>
      <c r="G1502">
        <v>12</v>
      </c>
      <c r="H1502" t="s">
        <v>2814</v>
      </c>
      <c r="I150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02" t="s">
        <v>1507</v>
      </c>
      <c r="K1502" t="str">
        <f>RIGHT(Tabla2[[#This Row],[codigo_producto]],LEN(Tabla2[[#This Row],[codigo_producto]])-FIND("/",Tabla2[[#This Row],[codigo_producto]]))</f>
        <v>3501110XKU0PA</v>
      </c>
      <c r="L1502" t="str">
        <f>LEFT(Tabla2[[#This Row],[codigo_producto]],FIND("/",Tabla2[[#This Row],[codigo_producto]])-1)</f>
        <v>58</v>
      </c>
      <c r="M150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4</v>
      </c>
    </row>
    <row r="1503" spans="1:13" x14ac:dyDescent="0.25">
      <c r="A1503" t="s">
        <v>4316</v>
      </c>
      <c r="B1503" t="s">
        <v>2717</v>
      </c>
      <c r="C1503" t="s">
        <v>2717</v>
      </c>
      <c r="D1503">
        <v>32</v>
      </c>
      <c r="E1503">
        <v>4</v>
      </c>
      <c r="F1503">
        <v>9</v>
      </c>
      <c r="G1503">
        <v>12</v>
      </c>
      <c r="H1503" t="s">
        <v>2814</v>
      </c>
      <c r="I150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03" t="s">
        <v>1508</v>
      </c>
      <c r="K1503" t="str">
        <f>RIGHT(Tabla2[[#This Row],[codigo_producto]],LEN(Tabla2[[#This Row],[codigo_producto]])-FIND("/",Tabla2[[#This Row],[codigo_producto]]))</f>
        <v>3502110XKU0PA</v>
      </c>
      <c r="L1503" t="str">
        <f>LEFT(Tabla2[[#This Row],[codigo_producto]],FIND("/",Tabla2[[#This Row],[codigo_producto]])-1)</f>
        <v>58</v>
      </c>
      <c r="M150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4</v>
      </c>
    </row>
    <row r="1504" spans="1:13" x14ac:dyDescent="0.25">
      <c r="A1504" t="s">
        <v>4317</v>
      </c>
      <c r="B1504" t="s">
        <v>2718</v>
      </c>
      <c r="C1504" t="s">
        <v>2718</v>
      </c>
      <c r="D1504">
        <v>32</v>
      </c>
      <c r="E1504">
        <v>4</v>
      </c>
      <c r="F1504">
        <v>9</v>
      </c>
      <c r="G1504">
        <v>12</v>
      </c>
      <c r="H1504" t="s">
        <v>2814</v>
      </c>
      <c r="I150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04" t="s">
        <v>1509</v>
      </c>
      <c r="K1504" t="str">
        <f>RIGHT(Tabla2[[#This Row],[codigo_producto]],LEN(Tabla2[[#This Row],[codigo_producto]])-FIND("/",Tabla2[[#This Row],[codigo_producto]]))</f>
        <v>3502110XSZ08A</v>
      </c>
      <c r="L1504" t="str">
        <f>LEFT(Tabla2[[#This Row],[codigo_producto]],FIND("/",Tabla2[[#This Row],[codigo_producto]])-1)</f>
        <v>58</v>
      </c>
      <c r="M150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4</v>
      </c>
    </row>
    <row r="1505" spans="1:13" x14ac:dyDescent="0.25">
      <c r="A1505" t="s">
        <v>4175</v>
      </c>
      <c r="B1505" t="s">
        <v>1918</v>
      </c>
      <c r="C1505" t="s">
        <v>1918</v>
      </c>
      <c r="D1505">
        <v>32</v>
      </c>
      <c r="E1505">
        <v>4</v>
      </c>
      <c r="F1505">
        <v>9</v>
      </c>
      <c r="G1505">
        <v>12</v>
      </c>
      <c r="H1505" t="s">
        <v>2814</v>
      </c>
      <c r="I150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05" t="s">
        <v>1510</v>
      </c>
      <c r="K1505" t="str">
        <f>RIGHT(Tabla2[[#This Row],[codigo_producto]],LEN(Tabla2[[#This Row],[codigo_producto]])-FIND("/",Tabla2[[#This Row],[codigo_producto]]))</f>
        <v>8104400ASZ08A</v>
      </c>
      <c r="L1505" t="str">
        <f>LEFT(Tabla2[[#This Row],[codigo_producto]],FIND("/",Tabla2[[#This Row],[codigo_producto]])-1)</f>
        <v>58</v>
      </c>
      <c r="M150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4</v>
      </c>
    </row>
    <row r="1506" spans="1:13" x14ac:dyDescent="0.25">
      <c r="A1506" t="s">
        <v>4318</v>
      </c>
      <c r="B1506" t="s">
        <v>2719</v>
      </c>
      <c r="C1506" t="s">
        <v>2719</v>
      </c>
      <c r="D1506">
        <v>32</v>
      </c>
      <c r="E1506">
        <v>4</v>
      </c>
      <c r="F1506">
        <v>9</v>
      </c>
      <c r="G1506">
        <v>12</v>
      </c>
      <c r="H1506" t="s">
        <v>2814</v>
      </c>
      <c r="I150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06" t="s">
        <v>1511</v>
      </c>
      <c r="K1506" t="str">
        <f>RIGHT(Tabla2[[#This Row],[codigo_producto]],LEN(Tabla2[[#This Row],[codigo_producto]])-FIND("/",Tabla2[[#This Row],[codigo_producto]]))</f>
        <v>8107400XKU00A</v>
      </c>
      <c r="L1506" t="str">
        <f>LEFT(Tabla2[[#This Row],[codigo_producto]],FIND("/",Tabla2[[#This Row],[codigo_producto]])-1)</f>
        <v>58</v>
      </c>
      <c r="M150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4</v>
      </c>
    </row>
    <row r="1507" spans="1:13" x14ac:dyDescent="0.25">
      <c r="A1507" t="s">
        <v>4319</v>
      </c>
      <c r="B1507" t="s">
        <v>2720</v>
      </c>
      <c r="C1507" t="s">
        <v>2720</v>
      </c>
      <c r="D1507">
        <v>32</v>
      </c>
      <c r="E1507">
        <v>4</v>
      </c>
      <c r="F1507">
        <v>9</v>
      </c>
      <c r="G1507">
        <v>12</v>
      </c>
      <c r="H1507" t="s">
        <v>2814</v>
      </c>
      <c r="I150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07" t="s">
        <v>1512</v>
      </c>
      <c r="K1507" t="str">
        <f>RIGHT(Tabla2[[#This Row],[codigo_producto]],LEN(Tabla2[[#This Row],[codigo_producto]])-FIND("/",Tabla2[[#This Row],[codigo_producto]]))</f>
        <v>88201701001RL</v>
      </c>
      <c r="L1507" t="str">
        <f>LEFT(Tabla2[[#This Row],[codigo_producto]],FIND("/",Tabla2[[#This Row],[codigo_producto]])-1)</f>
        <v>58</v>
      </c>
      <c r="M150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4</v>
      </c>
    </row>
    <row r="1508" spans="1:13" x14ac:dyDescent="0.25">
      <c r="A1508" t="s">
        <v>4320</v>
      </c>
      <c r="B1508" t="s">
        <v>2721</v>
      </c>
      <c r="C1508" t="s">
        <v>2721</v>
      </c>
      <c r="D1508">
        <v>32</v>
      </c>
      <c r="E1508">
        <v>4</v>
      </c>
      <c r="F1508">
        <v>9</v>
      </c>
      <c r="G1508">
        <v>12</v>
      </c>
      <c r="H1508" t="s">
        <v>2814</v>
      </c>
      <c r="I150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08" t="s">
        <v>1513</v>
      </c>
      <c r="K1508" t="str">
        <f>RIGHT(Tabla2[[#This Row],[codigo_producto]],LEN(Tabla2[[#This Row],[codigo_producto]])-FIND("/",Tabla2[[#This Row],[codigo_producto]]))</f>
        <v>88201701002RL</v>
      </c>
      <c r="L1508" t="str">
        <f>LEFT(Tabla2[[#This Row],[codigo_producto]],FIND("/",Tabla2[[#This Row],[codigo_producto]])-1)</f>
        <v>58</v>
      </c>
      <c r="M150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4</v>
      </c>
    </row>
    <row r="1509" spans="1:13" x14ac:dyDescent="0.25">
      <c r="A1509" t="s">
        <v>4321</v>
      </c>
      <c r="B1509" t="s">
        <v>2722</v>
      </c>
      <c r="C1509" t="s">
        <v>2722</v>
      </c>
      <c r="D1509">
        <v>32</v>
      </c>
      <c r="E1509">
        <v>4</v>
      </c>
      <c r="F1509">
        <v>9</v>
      </c>
      <c r="G1509">
        <v>12</v>
      </c>
      <c r="H1509" t="s">
        <v>2814</v>
      </c>
      <c r="I150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09" t="s">
        <v>1514</v>
      </c>
      <c r="K1509" t="str">
        <f>RIGHT(Tabla2[[#This Row],[codigo_producto]],LEN(Tabla2[[#This Row],[codigo_producto]])-FIND("/",Tabla2[[#This Row],[codigo_producto]]))</f>
        <v>KITSEGHAVALH7</v>
      </c>
      <c r="L1509" t="str">
        <f>LEFT(Tabla2[[#This Row],[codigo_producto]],FIND("/",Tabla2[[#This Row],[codigo_producto]])-1)</f>
        <v>58</v>
      </c>
      <c r="M150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4</v>
      </c>
    </row>
    <row r="1510" spans="1:13" x14ac:dyDescent="0.25">
      <c r="A1510" t="s">
        <v>4322</v>
      </c>
      <c r="B1510" t="s">
        <v>2723</v>
      </c>
      <c r="C1510" t="s">
        <v>2723</v>
      </c>
      <c r="D1510">
        <v>32</v>
      </c>
      <c r="E1510">
        <v>2</v>
      </c>
      <c r="F1510">
        <v>9</v>
      </c>
      <c r="G1510">
        <v>12</v>
      </c>
      <c r="H1510" t="s">
        <v>2814</v>
      </c>
      <c r="I151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10" t="s">
        <v>1515</v>
      </c>
      <c r="K1510" t="str">
        <f>RIGHT(Tabla2[[#This Row],[codigo_producto]],LEN(Tabla2[[#This Row],[codigo_producto]])-FIND("/",Tabla2[[#This Row],[codigo_producto]]))</f>
        <v>16719700ZDOTS</v>
      </c>
      <c r="L1510" t="str">
        <f>LEFT(Tabla2[[#This Row],[codigo_producto]],FIND("/",Tabla2[[#This Row],[codigo_producto]])-1)</f>
        <v>59</v>
      </c>
      <c r="M151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1511" spans="1:13" x14ac:dyDescent="0.25">
      <c r="A1511" t="s">
        <v>4323</v>
      </c>
      <c r="B1511" t="s">
        <v>2724</v>
      </c>
      <c r="C1511" t="s">
        <v>2724</v>
      </c>
      <c r="D1511">
        <v>32</v>
      </c>
      <c r="E1511">
        <v>2</v>
      </c>
      <c r="F1511">
        <v>9</v>
      </c>
      <c r="G1511">
        <v>12</v>
      </c>
      <c r="H1511" t="s">
        <v>2814</v>
      </c>
      <c r="I151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11" t="s">
        <v>1516</v>
      </c>
      <c r="K1511" t="str">
        <f>RIGHT(Tabla2[[#This Row],[codigo_producto]],LEN(Tabla2[[#This Row],[codigo_producto]])-FIND("/",Tabla2[[#This Row],[codigo_producto]]))</f>
        <v>9683913280OTS</v>
      </c>
      <c r="L1511" t="str">
        <f>LEFT(Tabla2[[#This Row],[codigo_producto]],FIND("/",Tabla2[[#This Row],[codigo_producto]])-1)</f>
        <v>59</v>
      </c>
      <c r="M151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1512" spans="1:13" x14ac:dyDescent="0.25">
      <c r="A1512" t="s">
        <v>4324</v>
      </c>
      <c r="B1512" t="s">
        <v>2118</v>
      </c>
      <c r="C1512" t="s">
        <v>2118</v>
      </c>
      <c r="D1512">
        <v>22</v>
      </c>
      <c r="E1512">
        <v>1</v>
      </c>
      <c r="F1512">
        <v>9</v>
      </c>
      <c r="G1512">
        <v>12</v>
      </c>
      <c r="H1512" t="s">
        <v>2815</v>
      </c>
      <c r="I151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1512" t="s">
        <v>1517</v>
      </c>
      <c r="K1512" t="str">
        <f>RIGHT(Tabla2[[#This Row],[codigo_producto]],LEN(Tabla2[[#This Row],[codigo_producto]])-FIND("/",Tabla2[[#This Row],[codigo_producto]]))</f>
        <v>KITSEGNEWSUVAN</v>
      </c>
      <c r="L1512" t="str">
        <f>LEFT(Tabla2[[#This Row],[codigo_producto]],FIND("/",Tabla2[[#This Row],[codigo_producto]])-1)</f>
        <v>6</v>
      </c>
      <c r="M151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513" spans="1:13" x14ac:dyDescent="0.25">
      <c r="A1513" t="s">
        <v>4325</v>
      </c>
      <c r="B1513" t="s">
        <v>1816</v>
      </c>
      <c r="C1513" t="s">
        <v>1816</v>
      </c>
      <c r="D1513">
        <v>32</v>
      </c>
      <c r="E1513">
        <v>1</v>
      </c>
      <c r="F1513">
        <v>9</v>
      </c>
      <c r="G1513">
        <v>12</v>
      </c>
      <c r="H1513" t="s">
        <v>2814</v>
      </c>
      <c r="I151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13" t="s">
        <v>1518</v>
      </c>
      <c r="K1513" t="str">
        <f>RIGHT(Tabla2[[#This Row],[codigo_producto]],LEN(Tabla2[[#This Row],[codigo_producto]])-FIND("/",Tabla2[[#This Row],[codigo_producto]]))</f>
        <v>PC2010194202A1</v>
      </c>
      <c r="L1513" t="str">
        <f>LEFT(Tabla2[[#This Row],[codigo_producto]],FIND("/",Tabla2[[#This Row],[codigo_producto]])-1)</f>
        <v>6</v>
      </c>
      <c r="M151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514" spans="1:13" x14ac:dyDescent="0.25">
      <c r="A1514" t="s">
        <v>4326</v>
      </c>
      <c r="B1514" t="s">
        <v>1894</v>
      </c>
      <c r="C1514" t="s">
        <v>1894</v>
      </c>
      <c r="D1514">
        <v>32</v>
      </c>
      <c r="E1514">
        <v>1</v>
      </c>
      <c r="F1514">
        <v>9</v>
      </c>
      <c r="G1514">
        <v>12</v>
      </c>
      <c r="H1514" t="s">
        <v>2814</v>
      </c>
      <c r="I151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14" t="s">
        <v>1519</v>
      </c>
      <c r="K1514" t="str">
        <f>RIGHT(Tabla2[[#This Row],[codigo_producto]],LEN(Tabla2[[#This Row],[codigo_producto]])-FIND("/",Tabla2[[#This Row],[codigo_producto]]))</f>
        <v>PC2010194203A1</v>
      </c>
      <c r="L1514" t="str">
        <f>LEFT(Tabla2[[#This Row],[codigo_producto]],FIND("/",Tabla2[[#This Row],[codigo_producto]])-1)</f>
        <v>6</v>
      </c>
      <c r="M151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515" spans="1:13" x14ac:dyDescent="0.25">
      <c r="A1515" t="s">
        <v>4327</v>
      </c>
      <c r="B1515" t="s">
        <v>2725</v>
      </c>
      <c r="C1515" t="s">
        <v>2725</v>
      </c>
      <c r="D1515">
        <v>32</v>
      </c>
      <c r="E1515">
        <v>1</v>
      </c>
      <c r="F1515">
        <v>9</v>
      </c>
      <c r="G1515">
        <v>12</v>
      </c>
      <c r="H1515" t="s">
        <v>2814</v>
      </c>
      <c r="I151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15" t="s">
        <v>1520</v>
      </c>
      <c r="K1515" t="str">
        <f>RIGHT(Tabla2[[#This Row],[codigo_producto]],LEN(Tabla2[[#This Row],[codigo_producto]])-FIND("/",Tabla2[[#This Row],[codigo_producto]]))</f>
        <v>PC2010500301A3</v>
      </c>
      <c r="L1515" t="str">
        <f>LEFT(Tabla2[[#This Row],[codigo_producto]],FIND("/",Tabla2[[#This Row],[codigo_producto]])-1)</f>
        <v>6</v>
      </c>
      <c r="M151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516" spans="1:13" x14ac:dyDescent="0.25">
      <c r="A1516" t="s">
        <v>4328</v>
      </c>
      <c r="B1516" t="s">
        <v>1836</v>
      </c>
      <c r="C1516" t="s">
        <v>1836</v>
      </c>
      <c r="D1516">
        <v>32</v>
      </c>
      <c r="E1516">
        <v>1</v>
      </c>
      <c r="F1516">
        <v>9</v>
      </c>
      <c r="G1516">
        <v>12</v>
      </c>
      <c r="H1516" t="s">
        <v>2814</v>
      </c>
      <c r="I151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16" t="s">
        <v>1521</v>
      </c>
      <c r="K1516" t="str">
        <f>RIGHT(Tabla2[[#This Row],[codigo_producto]],LEN(Tabla2[[#This Row],[codigo_producto]])-FIND("/",Tabla2[[#This Row],[codigo_producto]]))</f>
        <v>PC2010600101A1</v>
      </c>
      <c r="L1516" t="str">
        <f>LEFT(Tabla2[[#This Row],[codigo_producto]],FIND("/",Tabla2[[#This Row],[codigo_producto]])-1)</f>
        <v>6</v>
      </c>
      <c r="M151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517" spans="1:13" x14ac:dyDescent="0.25">
      <c r="A1517" t="s">
        <v>4329</v>
      </c>
      <c r="B1517" t="s">
        <v>1835</v>
      </c>
      <c r="C1517" t="s">
        <v>1835</v>
      </c>
      <c r="D1517">
        <v>32</v>
      </c>
      <c r="E1517">
        <v>1</v>
      </c>
      <c r="F1517">
        <v>9</v>
      </c>
      <c r="G1517">
        <v>12</v>
      </c>
      <c r="H1517" t="s">
        <v>2814</v>
      </c>
      <c r="I151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17" t="s">
        <v>1522</v>
      </c>
      <c r="K1517" t="str">
        <f>RIGHT(Tabla2[[#This Row],[codigo_producto]],LEN(Tabla2[[#This Row],[codigo_producto]])-FIND("/",Tabla2[[#This Row],[codigo_producto]]))</f>
        <v>PC2010600201A1</v>
      </c>
      <c r="L1517" t="str">
        <f>LEFT(Tabla2[[#This Row],[codigo_producto]],FIND("/",Tabla2[[#This Row],[codigo_producto]])-1)</f>
        <v>6</v>
      </c>
      <c r="M151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518" spans="1:13" x14ac:dyDescent="0.25">
      <c r="A1518" t="s">
        <v>4330</v>
      </c>
      <c r="B1518" t="s">
        <v>1823</v>
      </c>
      <c r="C1518" t="s">
        <v>1823</v>
      </c>
      <c r="D1518">
        <v>32</v>
      </c>
      <c r="E1518">
        <v>1</v>
      </c>
      <c r="F1518">
        <v>9</v>
      </c>
      <c r="G1518">
        <v>12</v>
      </c>
      <c r="H1518" t="s">
        <v>2814</v>
      </c>
      <c r="I151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18" t="s">
        <v>1523</v>
      </c>
      <c r="K1518" t="str">
        <f>RIGHT(Tabla2[[#This Row],[codigo_producto]],LEN(Tabla2[[#This Row],[codigo_producto]])-FIND("/",Tabla2[[#This Row],[codigo_producto]]))</f>
        <v>PC2010651401A1</v>
      </c>
      <c r="L1518" t="str">
        <f>LEFT(Tabla2[[#This Row],[codigo_producto]],FIND("/",Tabla2[[#This Row],[codigo_producto]])-1)</f>
        <v>6</v>
      </c>
      <c r="M151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519" spans="1:13" x14ac:dyDescent="0.25">
      <c r="A1519" t="s">
        <v>4331</v>
      </c>
      <c r="B1519" t="s">
        <v>2726</v>
      </c>
      <c r="C1519" t="s">
        <v>2726</v>
      </c>
      <c r="D1519">
        <v>32</v>
      </c>
      <c r="E1519">
        <v>1</v>
      </c>
      <c r="F1519">
        <v>9</v>
      </c>
      <c r="G1519">
        <v>12</v>
      </c>
      <c r="H1519" t="s">
        <v>2814</v>
      </c>
      <c r="I151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19" t="s">
        <v>1524</v>
      </c>
      <c r="K1519" t="str">
        <f>RIGHT(Tabla2[[#This Row],[codigo_producto]],LEN(Tabla2[[#This Row],[codigo_producto]])-FIND("/",Tabla2[[#This Row],[codigo_producto]]))</f>
        <v>R10301600010CP</v>
      </c>
      <c r="L1519" t="str">
        <f>LEFT(Tabla2[[#This Row],[codigo_producto]],FIND("/",Tabla2[[#This Row],[codigo_producto]])-1)</f>
        <v>6</v>
      </c>
      <c r="M151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520" spans="1:13" x14ac:dyDescent="0.25">
      <c r="A1520" t="s">
        <v>4332</v>
      </c>
      <c r="B1520" t="s">
        <v>2727</v>
      </c>
      <c r="C1520" t="s">
        <v>2727</v>
      </c>
      <c r="D1520">
        <v>32</v>
      </c>
      <c r="E1520">
        <v>5</v>
      </c>
      <c r="F1520">
        <v>9</v>
      </c>
      <c r="G1520">
        <v>12</v>
      </c>
      <c r="H1520" t="s">
        <v>2814</v>
      </c>
      <c r="I152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20" t="s">
        <v>1525</v>
      </c>
      <c r="K1520" t="str">
        <f>RIGHT(Tabla2[[#This Row],[codigo_producto]],LEN(Tabla2[[#This Row],[codigo_producto]])-FIND("/",Tabla2[[#This Row],[codigo_producto]]))</f>
        <v>1002050FD020-C</v>
      </c>
      <c r="L1520" t="str">
        <f>LEFT(Tabla2[[#This Row],[codigo_producto]],FIND("/",Tabla2[[#This Row],[codigo_producto]])-1)</f>
        <v>7</v>
      </c>
      <c r="M152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521" spans="1:13" x14ac:dyDescent="0.25">
      <c r="A1521" t="s">
        <v>4333</v>
      </c>
      <c r="B1521" t="s">
        <v>2728</v>
      </c>
      <c r="C1521" t="s">
        <v>2728</v>
      </c>
      <c r="D1521">
        <v>32</v>
      </c>
      <c r="E1521">
        <v>5</v>
      </c>
      <c r="F1521">
        <v>9</v>
      </c>
      <c r="G1521">
        <v>12</v>
      </c>
      <c r="H1521" t="s">
        <v>2814</v>
      </c>
      <c r="I152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21" t="s">
        <v>1526</v>
      </c>
      <c r="K1521" t="str">
        <f>RIGHT(Tabla2[[#This Row],[codigo_producto]],LEN(Tabla2[[#This Row],[codigo_producto]])-FIND("/",Tabla2[[#This Row],[codigo_producto]]))</f>
        <v>1004021FB040-2</v>
      </c>
      <c r="L1521" t="str">
        <f>LEFT(Tabla2[[#This Row],[codigo_producto]],FIND("/",Tabla2[[#This Row],[codigo_producto]])-1)</f>
        <v>7</v>
      </c>
      <c r="M152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522" spans="1:13" x14ac:dyDescent="0.25">
      <c r="A1522" t="s">
        <v>4334</v>
      </c>
      <c r="B1522" t="s">
        <v>2729</v>
      </c>
      <c r="C1522" t="s">
        <v>2729</v>
      </c>
      <c r="D1522">
        <v>32</v>
      </c>
      <c r="E1522">
        <v>5</v>
      </c>
      <c r="F1522">
        <v>9</v>
      </c>
      <c r="G1522">
        <v>12</v>
      </c>
      <c r="H1522" t="s">
        <v>2814</v>
      </c>
      <c r="I152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22" t="s">
        <v>1527</v>
      </c>
      <c r="K1522" t="str">
        <f>RIGHT(Tabla2[[#This Row],[codigo_producto]],LEN(Tabla2[[#This Row],[codigo_producto]])-FIND("/",Tabla2[[#This Row],[codigo_producto]]))</f>
        <v>1004030FB040ZJ</v>
      </c>
      <c r="L1522" t="str">
        <f>LEFT(Tabla2[[#This Row],[codigo_producto]],FIND("/",Tabla2[[#This Row],[codigo_producto]])-1)</f>
        <v>7</v>
      </c>
      <c r="M152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523" spans="1:13" x14ac:dyDescent="0.25">
      <c r="A1523" t="s">
        <v>4335</v>
      </c>
      <c r="B1523" t="s">
        <v>1712</v>
      </c>
      <c r="C1523" t="s">
        <v>1712</v>
      </c>
      <c r="D1523">
        <v>32</v>
      </c>
      <c r="E1523">
        <v>5</v>
      </c>
      <c r="F1523">
        <v>9</v>
      </c>
      <c r="G1523">
        <v>12</v>
      </c>
      <c r="H1523" t="s">
        <v>2814</v>
      </c>
      <c r="I152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23" t="s">
        <v>1528</v>
      </c>
      <c r="K1523" t="str">
        <f>RIGHT(Tabla2[[#This Row],[codigo_producto]],LEN(Tabla2[[#This Row],[codigo_producto]])-FIND("/",Tabla2[[#This Row],[codigo_producto]]))</f>
        <v>1017110GH20001</v>
      </c>
      <c r="L1523" t="str">
        <f>LEFT(Tabla2[[#This Row],[codigo_producto]],FIND("/",Tabla2[[#This Row],[codigo_producto]])-1)</f>
        <v>7</v>
      </c>
      <c r="M152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524" spans="1:13" x14ac:dyDescent="0.25">
      <c r="A1524" t="s">
        <v>4336</v>
      </c>
      <c r="B1524" t="s">
        <v>2730</v>
      </c>
      <c r="C1524" t="s">
        <v>2730</v>
      </c>
      <c r="D1524">
        <v>32</v>
      </c>
      <c r="E1524">
        <v>5</v>
      </c>
      <c r="F1524">
        <v>9</v>
      </c>
      <c r="G1524">
        <v>12</v>
      </c>
      <c r="H1524" t="s">
        <v>2814</v>
      </c>
      <c r="I152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24" t="s">
        <v>1529</v>
      </c>
      <c r="K1524" t="str">
        <f>RIGHT(Tabla2[[#This Row],[codigo_producto]],LEN(Tabla2[[#This Row],[codigo_producto]])-FIND("/",Tabla2[[#This Row],[codigo_producto]]))</f>
        <v>1025014GG010XZ</v>
      </c>
      <c r="L1524" t="str">
        <f>LEFT(Tabla2[[#This Row],[codigo_producto]],FIND("/",Tabla2[[#This Row],[codigo_producto]])-1)</f>
        <v>7</v>
      </c>
      <c r="M152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525" spans="1:13" x14ac:dyDescent="0.25">
      <c r="A1525" t="s">
        <v>4337</v>
      </c>
      <c r="B1525" t="s">
        <v>2731</v>
      </c>
      <c r="C1525" t="s">
        <v>2731</v>
      </c>
      <c r="D1525">
        <v>32</v>
      </c>
      <c r="E1525">
        <v>5</v>
      </c>
      <c r="F1525">
        <v>9</v>
      </c>
      <c r="G1525">
        <v>12</v>
      </c>
      <c r="H1525" t="s">
        <v>2814</v>
      </c>
      <c r="I152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25" t="s">
        <v>1530</v>
      </c>
      <c r="K1525" t="str">
        <f>RIGHT(Tabla2[[#This Row],[codigo_producto]],LEN(Tabla2[[#This Row],[codigo_producto]])-FIND("/",Tabla2[[#This Row],[codigo_producto]]))</f>
        <v>1025300FD02003</v>
      </c>
      <c r="L1525" t="str">
        <f>LEFT(Tabla2[[#This Row],[codigo_producto]],FIND("/",Tabla2[[#This Row],[codigo_producto]])-1)</f>
        <v>7</v>
      </c>
      <c r="M152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526" spans="1:13" x14ac:dyDescent="0.25">
      <c r="A1526" t="s">
        <v>4338</v>
      </c>
      <c r="B1526" t="s">
        <v>1827</v>
      </c>
      <c r="C1526" t="s">
        <v>1827</v>
      </c>
      <c r="D1526">
        <v>32</v>
      </c>
      <c r="E1526">
        <v>5</v>
      </c>
      <c r="F1526">
        <v>9</v>
      </c>
      <c r="G1526">
        <v>12</v>
      </c>
      <c r="H1526" t="s">
        <v>2814</v>
      </c>
      <c r="I152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26" t="s">
        <v>1531</v>
      </c>
      <c r="K1526" t="str">
        <f>RIGHT(Tabla2[[#This Row],[codigo_producto]],LEN(Tabla2[[#This Row],[codigo_producto]])-FIND("/",Tabla2[[#This Row],[codigo_producto]]))</f>
        <v>1105020D8253XZ</v>
      </c>
      <c r="L1526" t="str">
        <f>LEFT(Tabla2[[#This Row],[codigo_producto]],FIND("/",Tabla2[[#This Row],[codigo_producto]])-1)</f>
        <v>7</v>
      </c>
      <c r="M152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527" spans="1:13" x14ac:dyDescent="0.25">
      <c r="A1527" t="s">
        <v>4339</v>
      </c>
      <c r="B1527" t="s">
        <v>2055</v>
      </c>
      <c r="C1527" t="s">
        <v>2055</v>
      </c>
      <c r="D1527">
        <v>32</v>
      </c>
      <c r="E1527">
        <v>5</v>
      </c>
      <c r="F1527">
        <v>9</v>
      </c>
      <c r="G1527">
        <v>12</v>
      </c>
      <c r="H1527" t="s">
        <v>2814</v>
      </c>
      <c r="I152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27" t="s">
        <v>1532</v>
      </c>
      <c r="K1527" t="str">
        <f>RIGHT(Tabla2[[#This Row],[codigo_producto]],LEN(Tabla2[[#This Row],[codigo_producto]])-FIND("/",Tabla2[[#This Row],[codigo_producto]]))</f>
        <v>2803200P306AXZ</v>
      </c>
      <c r="L1527" t="str">
        <f>LEFT(Tabla2[[#This Row],[codigo_producto]],FIND("/",Tabla2[[#This Row],[codigo_producto]])-1)</f>
        <v>7</v>
      </c>
      <c r="M152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528" spans="1:13" x14ac:dyDescent="0.25">
      <c r="A1528" t="s">
        <v>4340</v>
      </c>
      <c r="B1528" t="s">
        <v>2732</v>
      </c>
      <c r="C1528" t="s">
        <v>2732</v>
      </c>
      <c r="D1528">
        <v>31</v>
      </c>
      <c r="E1528">
        <v>5</v>
      </c>
      <c r="F1528">
        <v>9</v>
      </c>
      <c r="G1528">
        <v>12</v>
      </c>
      <c r="H1528" t="s">
        <v>2818</v>
      </c>
      <c r="I152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528" t="s">
        <v>1533</v>
      </c>
      <c r="K1528" t="str">
        <f>RIGHT(Tabla2[[#This Row],[codigo_producto]],LEN(Tabla2[[#This Row],[codigo_producto]])-FIND("/",Tabla2[[#This Row],[codigo_producto]]))</f>
        <v>3103102-R002LJ</v>
      </c>
      <c r="L1528" t="str">
        <f>LEFT(Tabla2[[#This Row],[codigo_producto]],FIND("/",Tabla2[[#This Row],[codigo_producto]])-1)</f>
        <v>7</v>
      </c>
      <c r="M152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529" spans="1:13" x14ac:dyDescent="0.25">
      <c r="A1529" t="s">
        <v>4341</v>
      </c>
      <c r="B1529" t="s">
        <v>2733</v>
      </c>
      <c r="C1529" t="s">
        <v>2733</v>
      </c>
      <c r="D1529">
        <v>32</v>
      </c>
      <c r="E1529">
        <v>5</v>
      </c>
      <c r="F1529">
        <v>9</v>
      </c>
      <c r="G1529">
        <v>12</v>
      </c>
      <c r="H1529" t="s">
        <v>2814</v>
      </c>
      <c r="I152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29" t="s">
        <v>1534</v>
      </c>
      <c r="K1529" t="str">
        <f>RIGHT(Tabla2[[#This Row],[codigo_producto]],LEN(Tabla2[[#This Row],[codigo_producto]])-FIND("/",Tabla2[[#This Row],[codigo_producto]]))</f>
        <v>3406700V6500XZ</v>
      </c>
      <c r="L1529" t="str">
        <f>LEFT(Tabla2[[#This Row],[codigo_producto]],FIND("/",Tabla2[[#This Row],[codigo_producto]])-1)</f>
        <v>7</v>
      </c>
      <c r="M152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530" spans="1:13" x14ac:dyDescent="0.25">
      <c r="A1530" t="s">
        <v>4342</v>
      </c>
      <c r="B1530" t="s">
        <v>2734</v>
      </c>
      <c r="C1530" t="s">
        <v>2734</v>
      </c>
      <c r="D1530">
        <v>32</v>
      </c>
      <c r="E1530">
        <v>5</v>
      </c>
      <c r="F1530">
        <v>9</v>
      </c>
      <c r="G1530">
        <v>12</v>
      </c>
      <c r="H1530" t="s">
        <v>2814</v>
      </c>
      <c r="I153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30" t="s">
        <v>1535</v>
      </c>
      <c r="K1530" t="str">
        <f>RIGHT(Tabla2[[#This Row],[codigo_producto]],LEN(Tabla2[[#This Row],[codigo_producto]])-FIND("/",Tabla2[[#This Row],[codigo_producto]]))</f>
        <v>C2301-00100055</v>
      </c>
      <c r="L1530" t="str">
        <f>LEFT(Tabla2[[#This Row],[codigo_producto]],FIND("/",Tabla2[[#This Row],[codigo_producto]])-1)</f>
        <v>7</v>
      </c>
      <c r="M153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531" spans="1:13" x14ac:dyDescent="0.25">
      <c r="A1531" t="s">
        <v>4343</v>
      </c>
      <c r="B1531" t="s">
        <v>2735</v>
      </c>
      <c r="C1531" t="s">
        <v>2735</v>
      </c>
      <c r="D1531">
        <v>32</v>
      </c>
      <c r="E1531">
        <v>5</v>
      </c>
      <c r="F1531">
        <v>9</v>
      </c>
      <c r="G1531">
        <v>12</v>
      </c>
      <c r="H1531" t="s">
        <v>2814</v>
      </c>
      <c r="I153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31" t="s">
        <v>1536</v>
      </c>
      <c r="K1531" t="str">
        <f>RIGHT(Tabla2[[#This Row],[codigo_producto]],LEN(Tabla2[[#This Row],[codigo_producto]])-FIND("/",Tabla2[[#This Row],[codigo_producto]]))</f>
        <v>C2302-00100052</v>
      </c>
      <c r="L1531" t="str">
        <f>LEFT(Tabla2[[#This Row],[codigo_producto]],FIND("/",Tabla2[[#This Row],[codigo_producto]])-1)</f>
        <v>7</v>
      </c>
      <c r="M153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532" spans="1:13" x14ac:dyDescent="0.25">
      <c r="A1532" t="s">
        <v>4344</v>
      </c>
      <c r="B1532" t="s">
        <v>2736</v>
      </c>
      <c r="C1532" t="s">
        <v>2736</v>
      </c>
      <c r="D1532">
        <v>22</v>
      </c>
      <c r="E1532">
        <v>8</v>
      </c>
      <c r="F1532">
        <v>9</v>
      </c>
      <c r="G1532">
        <v>12</v>
      </c>
      <c r="H1532" t="s">
        <v>2815</v>
      </c>
      <c r="I153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1532" t="s">
        <v>1537</v>
      </c>
      <c r="K1532" t="str">
        <f>RIGHT(Tabla2[[#This Row],[codigo_producto]],LEN(Tabla2[[#This Row],[codigo_producto]])-FIND("/",Tabla2[[#This Row],[codigo_producto]]))</f>
        <v>KITSEGNEWERTIGA</v>
      </c>
      <c r="L1532" t="str">
        <f>LEFT(Tabla2[[#This Row],[codigo_producto]],FIND("/",Tabla2[[#This Row],[codigo_producto]])-1)</f>
        <v>1</v>
      </c>
      <c r="M153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533" spans="1:13" x14ac:dyDescent="0.25">
      <c r="A1533" t="s">
        <v>4345</v>
      </c>
      <c r="B1533" t="s">
        <v>2737</v>
      </c>
      <c r="C1533" t="s">
        <v>2737</v>
      </c>
      <c r="D1533">
        <v>22</v>
      </c>
      <c r="E1533">
        <v>8</v>
      </c>
      <c r="F1533">
        <v>9</v>
      </c>
      <c r="G1533">
        <v>12</v>
      </c>
      <c r="H1533" t="s">
        <v>2815</v>
      </c>
      <c r="I153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1533" t="s">
        <v>1538</v>
      </c>
      <c r="K1533" t="str">
        <f>RIGHT(Tabla2[[#This Row],[codigo_producto]],LEN(Tabla2[[#This Row],[codigo_producto]])-FIND("/",Tabla2[[#This Row],[codigo_producto]]))</f>
        <v>KITSEGSUZBALENO</v>
      </c>
      <c r="L1533" t="str">
        <f>LEFT(Tabla2[[#This Row],[codigo_producto]],FIND("/",Tabla2[[#This Row],[codigo_producto]])-1)</f>
        <v>1</v>
      </c>
      <c r="M153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534" spans="1:13" x14ac:dyDescent="0.25">
      <c r="A1534" t="s">
        <v>4346</v>
      </c>
      <c r="B1534" t="s">
        <v>2738</v>
      </c>
      <c r="C1534" t="s">
        <v>2738</v>
      </c>
      <c r="D1534">
        <v>22</v>
      </c>
      <c r="E1534">
        <v>8</v>
      </c>
      <c r="F1534">
        <v>9</v>
      </c>
      <c r="G1534">
        <v>12</v>
      </c>
      <c r="H1534" t="s">
        <v>2815</v>
      </c>
      <c r="I153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1534" t="s">
        <v>1539</v>
      </c>
      <c r="K1534" t="str">
        <f>RIGHT(Tabla2[[#This Row],[codigo_producto]],LEN(Tabla2[[#This Row],[codigo_producto]])-FIND("/",Tabla2[[#This Row],[codigo_producto]]))</f>
        <v>KITSEGSUZCELNEW</v>
      </c>
      <c r="L1534" t="str">
        <f>LEFT(Tabla2[[#This Row],[codigo_producto]],FIND("/",Tabla2[[#This Row],[codigo_producto]])-1)</f>
        <v>1</v>
      </c>
      <c r="M153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535" spans="1:13" x14ac:dyDescent="0.25">
      <c r="A1535" t="s">
        <v>4347</v>
      </c>
      <c r="B1535" t="s">
        <v>2739</v>
      </c>
      <c r="C1535" t="s">
        <v>2739</v>
      </c>
      <c r="D1535">
        <v>32</v>
      </c>
      <c r="E1535">
        <v>13</v>
      </c>
      <c r="F1535">
        <v>9</v>
      </c>
      <c r="G1535">
        <v>12</v>
      </c>
      <c r="H1535" t="s">
        <v>2814</v>
      </c>
      <c r="I153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35" t="s">
        <v>1540</v>
      </c>
      <c r="K1535" t="str">
        <f>RIGHT(Tabla2[[#This Row],[codigo_producto]],LEN(Tabla2[[#This Row],[codigo_producto]])-FIND("/",Tabla2[[#This Row],[codigo_producto]]))</f>
        <v>KITSEGCS35PLUS</v>
      </c>
      <c r="L1535" t="str">
        <f>LEFT(Tabla2[[#This Row],[codigo_producto]],FIND("/",Tabla2[[#This Row],[codigo_producto]])-1)</f>
        <v>10</v>
      </c>
      <c r="M153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536" spans="1:13" x14ac:dyDescent="0.25">
      <c r="A1536" t="s">
        <v>4348</v>
      </c>
      <c r="B1536" t="s">
        <v>2707</v>
      </c>
      <c r="C1536" t="s">
        <v>2707</v>
      </c>
      <c r="D1536">
        <v>32</v>
      </c>
      <c r="E1536">
        <v>13</v>
      </c>
      <c r="F1536">
        <v>9</v>
      </c>
      <c r="G1536">
        <v>12</v>
      </c>
      <c r="H1536" t="s">
        <v>2814</v>
      </c>
      <c r="I153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36" t="s">
        <v>1541</v>
      </c>
      <c r="K1536" t="str">
        <f>RIGHT(Tabla2[[#This Row],[codigo_producto]],LEN(Tabla2[[#This Row],[codigo_producto]])-FIND("/",Tabla2[[#This Row],[codigo_producto]]))</f>
        <v>KITSEGCS55PLUS</v>
      </c>
      <c r="L1536" t="str">
        <f>LEFT(Tabla2[[#This Row],[codigo_producto]],FIND("/",Tabla2[[#This Row],[codigo_producto]])-1)</f>
        <v>10</v>
      </c>
      <c r="M153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537" spans="1:13" x14ac:dyDescent="0.25">
      <c r="A1537" t="s">
        <v>4349</v>
      </c>
      <c r="B1537" t="s">
        <v>2740</v>
      </c>
      <c r="C1537" t="s">
        <v>2740</v>
      </c>
      <c r="D1537">
        <v>21</v>
      </c>
      <c r="E1537">
        <v>13</v>
      </c>
      <c r="F1537">
        <v>9</v>
      </c>
      <c r="G1537">
        <v>12</v>
      </c>
      <c r="H1537" t="s">
        <v>2820</v>
      </c>
      <c r="I153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21</v>
      </c>
      <c r="J1537" t="s">
        <v>1542</v>
      </c>
      <c r="K1537" t="str">
        <f>RIGHT(Tabla2[[#This Row],[codigo_producto]],LEN(Tabla2[[#This Row],[codigo_producto]])-FIND("/",Tabla2[[#This Row],[codigo_producto]]))</f>
        <v>KITSEGGWWINGLE</v>
      </c>
      <c r="L1537" t="str">
        <f>LEFT(Tabla2[[#This Row],[codigo_producto]],FIND("/",Tabla2[[#This Row],[codigo_producto]])-1)</f>
        <v>10</v>
      </c>
      <c r="M153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538" spans="1:13" x14ac:dyDescent="0.25">
      <c r="A1538" t="s">
        <v>4350</v>
      </c>
      <c r="B1538" t="s">
        <v>2573</v>
      </c>
      <c r="C1538" t="s">
        <v>2573</v>
      </c>
      <c r="D1538">
        <v>32</v>
      </c>
      <c r="E1538">
        <v>13</v>
      </c>
      <c r="F1538">
        <v>9</v>
      </c>
      <c r="G1538">
        <v>12</v>
      </c>
      <c r="H1538" t="s">
        <v>2814</v>
      </c>
      <c r="I153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38" t="s">
        <v>1543</v>
      </c>
      <c r="K1538" t="str">
        <f>RIGHT(Tabla2[[#This Row],[codigo_producto]],LEN(Tabla2[[#This Row],[codigo_producto]])-FIND("/",Tabla2[[#This Row],[codigo_producto]]))</f>
        <v>KITSEGNWBT50CH</v>
      </c>
      <c r="L1538" t="str">
        <f>LEFT(Tabla2[[#This Row],[codigo_producto]],FIND("/",Tabla2[[#This Row],[codigo_producto]])-1)</f>
        <v>10</v>
      </c>
      <c r="M153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539" spans="1:13" x14ac:dyDescent="0.25">
      <c r="A1539" t="s">
        <v>4351</v>
      </c>
      <c r="B1539" t="s">
        <v>2741</v>
      </c>
      <c r="C1539" t="s">
        <v>2741</v>
      </c>
      <c r="D1539">
        <v>22</v>
      </c>
      <c r="E1539">
        <v>13</v>
      </c>
      <c r="F1539">
        <v>9</v>
      </c>
      <c r="G1539">
        <v>12</v>
      </c>
      <c r="H1539" t="s">
        <v>2815</v>
      </c>
      <c r="I153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1539" t="s">
        <v>1544</v>
      </c>
      <c r="K1539" t="str">
        <f>RIGHT(Tabla2[[#This Row],[codigo_producto]],LEN(Tabla2[[#This Row],[codigo_producto]])-FIND("/",Tabla2[[#This Row],[codigo_producto]]))</f>
        <v>KITSEGNWDUSTER</v>
      </c>
      <c r="L1539" t="str">
        <f>LEFT(Tabla2[[#This Row],[codigo_producto]],FIND("/",Tabla2[[#This Row],[codigo_producto]])-1)</f>
        <v>10</v>
      </c>
      <c r="M153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540" spans="1:13" x14ac:dyDescent="0.25">
      <c r="A1540" t="s">
        <v>4352</v>
      </c>
      <c r="B1540" t="s">
        <v>2742</v>
      </c>
      <c r="C1540" t="s">
        <v>2742</v>
      </c>
      <c r="D1540">
        <v>21</v>
      </c>
      <c r="E1540">
        <v>13</v>
      </c>
      <c r="F1540">
        <v>9</v>
      </c>
      <c r="G1540">
        <v>12</v>
      </c>
      <c r="H1540" t="s">
        <v>2820</v>
      </c>
      <c r="I154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21</v>
      </c>
      <c r="J1540" t="s">
        <v>1545</v>
      </c>
      <c r="K1540" t="str">
        <f>RIGHT(Tabla2[[#This Row],[codigo_producto]],LEN(Tabla2[[#This Row],[codigo_producto]])-FIND("/",Tabla2[[#This Row],[codigo_producto]]))</f>
        <v>KITSEGNWREFINE</v>
      </c>
      <c r="L1540" t="str">
        <f>LEFT(Tabla2[[#This Row],[codigo_producto]],FIND("/",Tabla2[[#This Row],[codigo_producto]])-1)</f>
        <v>10</v>
      </c>
      <c r="M154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541" spans="1:13" x14ac:dyDescent="0.25">
      <c r="A1541" t="s">
        <v>4353</v>
      </c>
      <c r="B1541" t="s">
        <v>2743</v>
      </c>
      <c r="C1541" t="s">
        <v>2743</v>
      </c>
      <c r="D1541">
        <v>32</v>
      </c>
      <c r="E1541">
        <v>13</v>
      </c>
      <c r="F1541">
        <v>9</v>
      </c>
      <c r="G1541">
        <v>12</v>
      </c>
      <c r="H1541" t="s">
        <v>2814</v>
      </c>
      <c r="I154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41" t="s">
        <v>1546</v>
      </c>
      <c r="K1541" t="str">
        <f>RIGHT(Tabla2[[#This Row],[codigo_producto]],LEN(Tabla2[[#This Row],[codigo_producto]])-FIND("/",Tabla2[[#This Row],[codigo_producto]]))</f>
        <v>N1KITSEGPOERMC</v>
      </c>
      <c r="L1541" t="str">
        <f>LEFT(Tabla2[[#This Row],[codigo_producto]],FIND("/",Tabla2[[#This Row],[codigo_producto]])-1)</f>
        <v>10</v>
      </c>
      <c r="M154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542" spans="1:13" x14ac:dyDescent="0.25">
      <c r="A1542" t="s">
        <v>4354</v>
      </c>
      <c r="B1542" t="s">
        <v>2146</v>
      </c>
      <c r="C1542" t="s">
        <v>2146</v>
      </c>
      <c r="D1542">
        <v>31</v>
      </c>
      <c r="E1542">
        <v>9</v>
      </c>
      <c r="F1542">
        <v>9</v>
      </c>
      <c r="G1542">
        <v>12</v>
      </c>
      <c r="H1542" t="s">
        <v>2818</v>
      </c>
      <c r="I154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542" t="s">
        <v>1547</v>
      </c>
      <c r="K1542" t="str">
        <f>RIGHT(Tabla2[[#This Row],[codigo_producto]],LEN(Tabla2[[#This Row],[codigo_producto]])-FIND("/",Tabla2[[#This Row],[codigo_producto]]))</f>
        <v>D5H00-1105140A</v>
      </c>
      <c r="L1542" t="str">
        <f>LEFT(Tabla2[[#This Row],[codigo_producto]],FIND("/",Tabla2[[#This Row],[codigo_producto]])-1)</f>
        <v>11</v>
      </c>
      <c r="M154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9</v>
      </c>
    </row>
    <row r="1543" spans="1:13" x14ac:dyDescent="0.25">
      <c r="A1543" t="s">
        <v>4355</v>
      </c>
      <c r="B1543" t="s">
        <v>1845</v>
      </c>
      <c r="C1543" t="s">
        <v>1845</v>
      </c>
      <c r="D1543">
        <v>31</v>
      </c>
      <c r="E1543">
        <v>9</v>
      </c>
      <c r="F1543">
        <v>9</v>
      </c>
      <c r="G1543">
        <v>12</v>
      </c>
      <c r="H1543" t="s">
        <v>2818</v>
      </c>
      <c r="I154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543" t="s">
        <v>1548</v>
      </c>
      <c r="K1543" t="str">
        <f>RIGHT(Tabla2[[#This Row],[codigo_producto]],LEN(Tabla2[[#This Row],[codigo_producto]])-FIND("/",Tabla2[[#This Row],[codigo_producto]]))</f>
        <v>YF35A104-01075</v>
      </c>
      <c r="L1543" t="str">
        <f>LEFT(Tabla2[[#This Row],[codigo_producto]],FIND("/",Tabla2[[#This Row],[codigo_producto]])-1)</f>
        <v>11</v>
      </c>
      <c r="M154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9</v>
      </c>
    </row>
    <row r="1544" spans="1:13" x14ac:dyDescent="0.25">
      <c r="A1544" t="s">
        <v>4356</v>
      </c>
      <c r="B1544" t="s">
        <v>2744</v>
      </c>
      <c r="C1544" t="s">
        <v>2744</v>
      </c>
      <c r="D1544">
        <v>22</v>
      </c>
      <c r="E1544">
        <v>6</v>
      </c>
      <c r="F1544">
        <v>9</v>
      </c>
      <c r="G1544">
        <v>12</v>
      </c>
      <c r="H1544" t="s">
        <v>2815</v>
      </c>
      <c r="I154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1544" t="s">
        <v>1549</v>
      </c>
      <c r="K1544" t="str">
        <f>RIGHT(Tabla2[[#This Row],[codigo_producto]],LEN(Tabla2[[#This Row],[codigo_producto]])-FIND("/",Tabla2[[#This Row],[codigo_producto]]))</f>
        <v>KITSEGNEWMAZDA2</v>
      </c>
      <c r="L1544" t="str">
        <f>LEFT(Tabla2[[#This Row],[codigo_producto]],FIND("/",Tabla2[[#This Row],[codigo_producto]])-1)</f>
        <v>2</v>
      </c>
      <c r="M154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545" spans="1:13" x14ac:dyDescent="0.25">
      <c r="A1545" t="s">
        <v>4357</v>
      </c>
      <c r="B1545" t="s">
        <v>2744</v>
      </c>
      <c r="C1545" t="s">
        <v>2744</v>
      </c>
      <c r="D1545">
        <v>22</v>
      </c>
      <c r="E1545">
        <v>6</v>
      </c>
      <c r="F1545">
        <v>9</v>
      </c>
      <c r="G1545">
        <v>12</v>
      </c>
      <c r="H1545" t="s">
        <v>2815</v>
      </c>
      <c r="I154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1545" t="s">
        <v>1550</v>
      </c>
      <c r="K1545" t="str">
        <f>RIGHT(Tabla2[[#This Row],[codigo_producto]],LEN(Tabla2[[#This Row],[codigo_producto]])-FIND("/",Tabla2[[#This Row],[codigo_producto]]))</f>
        <v>KITSEGNEWMAZDA3</v>
      </c>
      <c r="L1545" t="str">
        <f>LEFT(Tabla2[[#This Row],[codigo_producto]],FIND("/",Tabla2[[#This Row],[codigo_producto]])-1)</f>
        <v>2</v>
      </c>
      <c r="M154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546" spans="1:13" x14ac:dyDescent="0.25">
      <c r="A1546" t="s">
        <v>4358</v>
      </c>
      <c r="B1546" t="s">
        <v>2745</v>
      </c>
      <c r="C1546" t="s">
        <v>2745</v>
      </c>
      <c r="D1546">
        <v>32</v>
      </c>
      <c r="E1546">
        <v>7</v>
      </c>
      <c r="F1546">
        <v>9</v>
      </c>
      <c r="G1546">
        <v>12</v>
      </c>
      <c r="H1546" t="s">
        <v>2814</v>
      </c>
      <c r="I154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46" t="s">
        <v>1551</v>
      </c>
      <c r="K1546" t="str">
        <f>RIGHT(Tabla2[[#This Row],[codigo_producto]],LEN(Tabla2[[#This Row],[codigo_producto]])-FIND("/",Tabla2[[#This Row],[codigo_producto]]))</f>
        <v>2360001540CPOTS</v>
      </c>
      <c r="L1546" t="str">
        <f>LEFT(Tabla2[[#This Row],[codigo_producto]],FIND("/",Tabla2[[#This Row],[codigo_producto]])-1)</f>
        <v>3</v>
      </c>
      <c r="M154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1547" spans="1:13" x14ac:dyDescent="0.25">
      <c r="A1547" t="s">
        <v>4359</v>
      </c>
      <c r="B1547" t="s">
        <v>2746</v>
      </c>
      <c r="C1547" t="s">
        <v>2746</v>
      </c>
      <c r="D1547">
        <v>32</v>
      </c>
      <c r="E1547">
        <v>3</v>
      </c>
      <c r="F1547">
        <v>9</v>
      </c>
      <c r="G1547">
        <v>12</v>
      </c>
      <c r="H1547" t="s">
        <v>2814</v>
      </c>
      <c r="I154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47" t="s">
        <v>1552</v>
      </c>
      <c r="K1547" t="str">
        <f>RIGHT(Tabla2[[#This Row],[codigo_producto]],LEN(Tabla2[[#This Row],[codigo_producto]])-FIND("/",Tabla2[[#This Row],[codigo_producto]]))</f>
        <v>1001011XED70OTS</v>
      </c>
      <c r="L1547" t="str">
        <f>LEFT(Tabla2[[#This Row],[codigo_producto]],FIND("/",Tabla2[[#This Row],[codigo_producto]])-1)</f>
        <v>5</v>
      </c>
      <c r="M154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548" spans="1:13" x14ac:dyDescent="0.25">
      <c r="A1548" t="s">
        <v>4360</v>
      </c>
      <c r="B1548" t="s">
        <v>2747</v>
      </c>
      <c r="C1548" t="s">
        <v>2747</v>
      </c>
      <c r="D1548">
        <v>32</v>
      </c>
      <c r="E1548">
        <v>3</v>
      </c>
      <c r="F1548">
        <v>9</v>
      </c>
      <c r="G1548">
        <v>12</v>
      </c>
      <c r="H1548" t="s">
        <v>2814</v>
      </c>
      <c r="I154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48" t="s">
        <v>1553</v>
      </c>
      <c r="K1548" t="str">
        <f>RIGHT(Tabla2[[#This Row],[codigo_producto]],LEN(Tabla2[[#This Row],[codigo_producto]])-FIND("/",Tabla2[[#This Row],[codigo_producto]]))</f>
        <v>1001012XED70OTS</v>
      </c>
      <c r="L1548" t="str">
        <f>LEFT(Tabla2[[#This Row],[codigo_producto]],FIND("/",Tabla2[[#This Row],[codigo_producto]])-1)</f>
        <v>5</v>
      </c>
      <c r="M154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549" spans="1:13" x14ac:dyDescent="0.25">
      <c r="A1549" t="s">
        <v>4361</v>
      </c>
      <c r="B1549" t="s">
        <v>2748</v>
      </c>
      <c r="C1549" t="s">
        <v>2748</v>
      </c>
      <c r="D1549">
        <v>32</v>
      </c>
      <c r="E1549">
        <v>3</v>
      </c>
      <c r="F1549">
        <v>9</v>
      </c>
      <c r="G1549">
        <v>12</v>
      </c>
      <c r="H1549" t="s">
        <v>2814</v>
      </c>
      <c r="I154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49" t="s">
        <v>1554</v>
      </c>
      <c r="K1549" t="str">
        <f>RIGHT(Tabla2[[#This Row],[codigo_producto]],LEN(Tabla2[[#This Row],[codigo_producto]])-FIND("/",Tabla2[[#This Row],[codigo_producto]]))</f>
        <v>1001014XED70OTS</v>
      </c>
      <c r="L1549" t="str">
        <f>LEFT(Tabla2[[#This Row],[codigo_producto]],FIND("/",Tabla2[[#This Row],[codigo_producto]])-1)</f>
        <v>5</v>
      </c>
      <c r="M154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550" spans="1:13" x14ac:dyDescent="0.25">
      <c r="A1550" t="s">
        <v>4362</v>
      </c>
      <c r="B1550" t="s">
        <v>2749</v>
      </c>
      <c r="C1550" t="s">
        <v>2749</v>
      </c>
      <c r="D1550">
        <v>32</v>
      </c>
      <c r="E1550">
        <v>3</v>
      </c>
      <c r="F1550">
        <v>9</v>
      </c>
      <c r="G1550">
        <v>12</v>
      </c>
      <c r="H1550" t="s">
        <v>2814</v>
      </c>
      <c r="I155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50" t="s">
        <v>1555</v>
      </c>
      <c r="K1550" t="str">
        <f>RIGHT(Tabla2[[#This Row],[codigo_producto]],LEN(Tabla2[[#This Row],[codigo_producto]])-FIND("/",Tabla2[[#This Row],[codigo_producto]]))</f>
        <v>1005023XED96OTS</v>
      </c>
      <c r="L1550" t="str">
        <f>LEFT(Tabla2[[#This Row],[codigo_producto]],FIND("/",Tabla2[[#This Row],[codigo_producto]])-1)</f>
        <v>5</v>
      </c>
      <c r="M155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551" spans="1:13" x14ac:dyDescent="0.25">
      <c r="A1551" t="s">
        <v>4363</v>
      </c>
      <c r="B1551" t="s">
        <v>2750</v>
      </c>
      <c r="C1551" t="s">
        <v>2750</v>
      </c>
      <c r="D1551">
        <v>32</v>
      </c>
      <c r="E1551">
        <v>3</v>
      </c>
      <c r="F1551">
        <v>9</v>
      </c>
      <c r="G1551">
        <v>12</v>
      </c>
      <c r="H1551" t="s">
        <v>2814</v>
      </c>
      <c r="I155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51" t="s">
        <v>1556</v>
      </c>
      <c r="K1551" t="str">
        <f>RIGHT(Tabla2[[#This Row],[codigo_producto]],LEN(Tabla2[[#This Row],[codigo_producto]])-FIND("/",Tabla2[[#This Row],[codigo_producto]]))</f>
        <v>DPKITFILTROPOER</v>
      </c>
      <c r="L1551" t="str">
        <f>LEFT(Tabla2[[#This Row],[codigo_producto]],FIND("/",Tabla2[[#This Row],[codigo_producto]])-1)</f>
        <v>5</v>
      </c>
      <c r="M155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552" spans="1:13" x14ac:dyDescent="0.25">
      <c r="A1552" t="s">
        <v>4364</v>
      </c>
      <c r="B1552" t="s">
        <v>2751</v>
      </c>
      <c r="C1552" t="s">
        <v>2751</v>
      </c>
      <c r="D1552">
        <v>32</v>
      </c>
      <c r="E1552">
        <v>3</v>
      </c>
      <c r="F1552">
        <v>9</v>
      </c>
      <c r="G1552">
        <v>12</v>
      </c>
      <c r="H1552" t="s">
        <v>2814</v>
      </c>
      <c r="I155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52" t="s">
        <v>1557</v>
      </c>
      <c r="K1552" t="str">
        <f>RIGHT(Tabla2[[#This Row],[codigo_producto]],LEN(Tabla2[[#This Row],[codigo_producto]])-FIND("/",Tabla2[[#This Row],[codigo_producto]]))</f>
        <v>PURIFICADORPOER</v>
      </c>
      <c r="L1552" t="str">
        <f>LEFT(Tabla2[[#This Row],[codigo_producto]],FIND("/",Tabla2[[#This Row],[codigo_producto]])-1)</f>
        <v>5</v>
      </c>
      <c r="M155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553" spans="1:13" x14ac:dyDescent="0.25">
      <c r="A1553" t="s">
        <v>4365</v>
      </c>
      <c r="B1553" t="s">
        <v>2421</v>
      </c>
      <c r="C1553" t="s">
        <v>2421</v>
      </c>
      <c r="D1553">
        <v>32</v>
      </c>
      <c r="E1553">
        <v>3</v>
      </c>
      <c r="F1553">
        <v>9</v>
      </c>
      <c r="G1553">
        <v>12</v>
      </c>
      <c r="H1553" t="s">
        <v>2814</v>
      </c>
      <c r="I155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53" t="s">
        <v>1558</v>
      </c>
      <c r="K1553" t="str">
        <f>RIGHT(Tabla2[[#This Row],[codigo_producto]],LEN(Tabla2[[#This Row],[codigo_producto]])-FIND("/",Tabla2[[#This Row],[codigo_producto]]))</f>
        <v>ZM015A216010201</v>
      </c>
      <c r="L1553" t="str">
        <f>LEFT(Tabla2[[#This Row],[codigo_producto]],FIND("/",Tabla2[[#This Row],[codigo_producto]])-1)</f>
        <v>5</v>
      </c>
      <c r="M155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554" spans="1:13" x14ac:dyDescent="0.25">
      <c r="A1554" t="s">
        <v>4366</v>
      </c>
      <c r="B1554" t="s">
        <v>2752</v>
      </c>
      <c r="C1554" t="s">
        <v>2752</v>
      </c>
      <c r="D1554">
        <v>31</v>
      </c>
      <c r="E1554">
        <v>3</v>
      </c>
      <c r="F1554">
        <v>9</v>
      </c>
      <c r="G1554">
        <v>12</v>
      </c>
      <c r="H1554" t="s">
        <v>2818</v>
      </c>
      <c r="I155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554" t="s">
        <v>1559</v>
      </c>
      <c r="K1554" t="str">
        <f>RIGHT(Tabla2[[#This Row],[codigo_producto]],LEN(Tabla2[[#This Row],[codigo_producto]])-FIND("/",Tabla2[[#This Row],[codigo_producto]]))</f>
        <v>ZM6T82BF1701513</v>
      </c>
      <c r="L1554" t="str">
        <f>LEFT(Tabla2[[#This Row],[codigo_producto]],FIND("/",Tabla2[[#This Row],[codigo_producto]])-1)</f>
        <v>5</v>
      </c>
      <c r="M155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555" spans="1:13" x14ac:dyDescent="0.25">
      <c r="A1555" t="s">
        <v>4367</v>
      </c>
      <c r="B1555" t="s">
        <v>2753</v>
      </c>
      <c r="C1555" t="s">
        <v>2753</v>
      </c>
      <c r="D1555">
        <v>32</v>
      </c>
      <c r="E1555">
        <v>2</v>
      </c>
      <c r="F1555">
        <v>9</v>
      </c>
      <c r="G1555">
        <v>12</v>
      </c>
      <c r="H1555" t="s">
        <v>2814</v>
      </c>
      <c r="I155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55" t="s">
        <v>1560</v>
      </c>
      <c r="K1555" t="str">
        <f>RIGHT(Tabla2[[#This Row],[codigo_producto]],LEN(Tabla2[[#This Row],[codigo_producto]])-FIND("/",Tabla2[[#This Row],[codigo_producto]]))</f>
        <v>KITSECITJUMPER</v>
      </c>
      <c r="L1555" t="str">
        <f>LEFT(Tabla2[[#This Row],[codigo_producto]],FIND("/",Tabla2[[#This Row],[codigo_producto]])-1)</f>
        <v>59</v>
      </c>
      <c r="M155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1556" spans="1:13" x14ac:dyDescent="0.25">
      <c r="A1556" t="s">
        <v>4368</v>
      </c>
      <c r="B1556" t="s">
        <v>2754</v>
      </c>
      <c r="C1556" t="s">
        <v>2754</v>
      </c>
      <c r="D1556">
        <v>32</v>
      </c>
      <c r="E1556">
        <v>2</v>
      </c>
      <c r="F1556">
        <v>9</v>
      </c>
      <c r="G1556">
        <v>12</v>
      </c>
      <c r="H1556" t="s">
        <v>2814</v>
      </c>
      <c r="I155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56" t="s">
        <v>1561</v>
      </c>
      <c r="K1556" t="str">
        <f>RIGHT(Tabla2[[#This Row],[codigo_producto]],LEN(Tabla2[[#This Row],[codigo_producto]])-FIND("/",Tabla2[[#This Row],[codigo_producto]]))</f>
        <v>KITSEGAIRCROSS</v>
      </c>
      <c r="L1556" t="str">
        <f>LEFT(Tabla2[[#This Row],[codigo_producto]],FIND("/",Tabla2[[#This Row],[codigo_producto]])-1)</f>
        <v>59</v>
      </c>
      <c r="M155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1557" spans="1:13" x14ac:dyDescent="0.25">
      <c r="A1557" t="s">
        <v>4369</v>
      </c>
      <c r="B1557" t="s">
        <v>1715</v>
      </c>
      <c r="C1557" t="s">
        <v>1715</v>
      </c>
      <c r="D1557">
        <v>32</v>
      </c>
      <c r="E1557">
        <v>1</v>
      </c>
      <c r="F1557">
        <v>9</v>
      </c>
      <c r="G1557">
        <v>12</v>
      </c>
      <c r="H1557" t="s">
        <v>2814</v>
      </c>
      <c r="I155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57" t="s">
        <v>1562</v>
      </c>
      <c r="K1557" t="str">
        <f>RIGHT(Tabla2[[#This Row],[codigo_producto]],LEN(Tabla2[[#This Row],[codigo_producto]])-FIND("/",Tabla2[[#This Row],[codigo_producto]]))</f>
        <v>B511F2105010200</v>
      </c>
      <c r="L1557" t="str">
        <f>LEFT(Tabla2[[#This Row],[codigo_producto]],FIND("/",Tabla2[[#This Row],[codigo_producto]])-1)</f>
        <v>6</v>
      </c>
      <c r="M155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558" spans="1:13" x14ac:dyDescent="0.25">
      <c r="A1558" t="s">
        <v>4370</v>
      </c>
      <c r="B1558" t="s">
        <v>1829</v>
      </c>
      <c r="C1558" t="s">
        <v>1829</v>
      </c>
      <c r="D1558">
        <v>32</v>
      </c>
      <c r="E1558">
        <v>1</v>
      </c>
      <c r="F1558">
        <v>9</v>
      </c>
      <c r="G1558">
        <v>12</v>
      </c>
      <c r="H1558" t="s">
        <v>2814</v>
      </c>
      <c r="I155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58" t="s">
        <v>1563</v>
      </c>
      <c r="K1558" t="str">
        <f>RIGHT(Tabla2[[#This Row],[codigo_producto]],LEN(Tabla2[[#This Row],[codigo_producto]])-FIND("/",Tabla2[[#This Row],[codigo_producto]]))</f>
        <v>B511F2801031800</v>
      </c>
      <c r="L1558" t="str">
        <f>LEFT(Tabla2[[#This Row],[codigo_producto]],FIND("/",Tabla2[[#This Row],[codigo_producto]])-1)</f>
        <v>6</v>
      </c>
      <c r="M155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559" spans="1:13" x14ac:dyDescent="0.25">
      <c r="A1559" t="s">
        <v>4371</v>
      </c>
      <c r="B1559" t="s">
        <v>2274</v>
      </c>
      <c r="C1559" t="s">
        <v>2274</v>
      </c>
      <c r="D1559">
        <v>32</v>
      </c>
      <c r="E1559">
        <v>1</v>
      </c>
      <c r="F1559">
        <v>9</v>
      </c>
      <c r="G1559">
        <v>12</v>
      </c>
      <c r="H1559" t="s">
        <v>2814</v>
      </c>
      <c r="I155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59" t="s">
        <v>1564</v>
      </c>
      <c r="K1559" t="str">
        <f>RIGHT(Tabla2[[#This Row],[codigo_producto]],LEN(Tabla2[[#This Row],[codigo_producto]])-FIND("/",Tabla2[[#This Row],[codigo_producto]]))</f>
        <v>F202F2603011202</v>
      </c>
      <c r="L1559" t="str">
        <f>LEFT(Tabla2[[#This Row],[codigo_producto]],FIND("/",Tabla2[[#This Row],[codigo_producto]])-1)</f>
        <v>6</v>
      </c>
      <c r="M155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560" spans="1:13" x14ac:dyDescent="0.25">
      <c r="A1560" t="s">
        <v>4372</v>
      </c>
      <c r="B1560" t="s">
        <v>2275</v>
      </c>
      <c r="C1560" t="s">
        <v>2275</v>
      </c>
      <c r="D1560">
        <v>32</v>
      </c>
      <c r="E1560">
        <v>1</v>
      </c>
      <c r="F1560">
        <v>9</v>
      </c>
      <c r="G1560">
        <v>12</v>
      </c>
      <c r="H1560" t="s">
        <v>2814</v>
      </c>
      <c r="I156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60" t="s">
        <v>1565</v>
      </c>
      <c r="K1560" t="str">
        <f>RIGHT(Tabla2[[#This Row],[codigo_producto]],LEN(Tabla2[[#This Row],[codigo_producto]])-FIND("/",Tabla2[[#This Row],[codigo_producto]]))</f>
        <v>F202F2603011801</v>
      </c>
      <c r="L1560" t="str">
        <f>LEFT(Tabla2[[#This Row],[codigo_producto]],FIND("/",Tabla2[[#This Row],[codigo_producto]])-1)</f>
        <v>6</v>
      </c>
      <c r="M156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561" spans="1:13" x14ac:dyDescent="0.25">
      <c r="A1561" t="s">
        <v>4373</v>
      </c>
      <c r="B1561" t="s">
        <v>1829</v>
      </c>
      <c r="C1561" t="s">
        <v>1829</v>
      </c>
      <c r="D1561">
        <v>32</v>
      </c>
      <c r="E1561">
        <v>1</v>
      </c>
      <c r="F1561">
        <v>9</v>
      </c>
      <c r="G1561">
        <v>12</v>
      </c>
      <c r="H1561" t="s">
        <v>2814</v>
      </c>
      <c r="I156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61" t="s">
        <v>1566</v>
      </c>
      <c r="K1561" t="str">
        <f>RIGHT(Tabla2[[#This Row],[codigo_producto]],LEN(Tabla2[[#This Row],[codigo_producto]])-FIND("/",Tabla2[[#This Row],[codigo_producto]]))</f>
        <v>F202F2801013100</v>
      </c>
      <c r="L1561" t="str">
        <f>LEFT(Tabla2[[#This Row],[codigo_producto]],FIND("/",Tabla2[[#This Row],[codigo_producto]])-1)</f>
        <v>6</v>
      </c>
      <c r="M156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562" spans="1:13" x14ac:dyDescent="0.25">
      <c r="A1562" t="s">
        <v>4374</v>
      </c>
      <c r="B1562" t="s">
        <v>2755</v>
      </c>
      <c r="C1562" t="s">
        <v>2755</v>
      </c>
      <c r="D1562">
        <v>32</v>
      </c>
      <c r="E1562">
        <v>1</v>
      </c>
      <c r="F1562">
        <v>9</v>
      </c>
      <c r="G1562">
        <v>12</v>
      </c>
      <c r="H1562" t="s">
        <v>2814</v>
      </c>
      <c r="I156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62" t="s">
        <v>1567</v>
      </c>
      <c r="K1562" t="str">
        <f>RIGHT(Tabla2[[#This Row],[codigo_producto]],LEN(Tabla2[[#This Row],[codigo_producto]])-FIND("/",Tabla2[[#This Row],[codigo_producto]]))</f>
        <v>S111F2101020100</v>
      </c>
      <c r="L1562" t="str">
        <f>LEFT(Tabla2[[#This Row],[codigo_producto]],FIND("/",Tabla2[[#This Row],[codigo_producto]])-1)</f>
        <v>6</v>
      </c>
      <c r="M156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563" spans="1:13" x14ac:dyDescent="0.25">
      <c r="A1563" t="s">
        <v>4375</v>
      </c>
      <c r="B1563" t="s">
        <v>1715</v>
      </c>
      <c r="C1563" t="s">
        <v>1715</v>
      </c>
      <c r="D1563">
        <v>32</v>
      </c>
      <c r="E1563">
        <v>1</v>
      </c>
      <c r="F1563">
        <v>9</v>
      </c>
      <c r="G1563">
        <v>12</v>
      </c>
      <c r="H1563" t="s">
        <v>2814</v>
      </c>
      <c r="I156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63" t="s">
        <v>1568</v>
      </c>
      <c r="K1563" t="str">
        <f>RIGHT(Tabla2[[#This Row],[codigo_producto]],LEN(Tabla2[[#This Row],[codigo_producto]])-FIND("/",Tabla2[[#This Row],[codigo_producto]]))</f>
        <v>S111F2105010600</v>
      </c>
      <c r="L1563" t="str">
        <f>LEFT(Tabla2[[#This Row],[codigo_producto]],FIND("/",Tabla2[[#This Row],[codigo_producto]])-1)</f>
        <v>6</v>
      </c>
      <c r="M156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564" spans="1:13" x14ac:dyDescent="0.25">
      <c r="A1564" t="s">
        <v>4376</v>
      </c>
      <c r="B1564" t="s">
        <v>2756</v>
      </c>
      <c r="C1564" t="s">
        <v>2756</v>
      </c>
      <c r="D1564">
        <v>32</v>
      </c>
      <c r="E1564">
        <v>1</v>
      </c>
      <c r="F1564">
        <v>9</v>
      </c>
      <c r="G1564">
        <v>12</v>
      </c>
      <c r="H1564" t="s">
        <v>2814</v>
      </c>
      <c r="I156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64" t="s">
        <v>1569</v>
      </c>
      <c r="K1564" t="str">
        <f>RIGHT(Tabla2[[#This Row],[codigo_producto]],LEN(Tabla2[[#This Row],[codigo_producto]])-FIND("/",Tabla2[[#This Row],[codigo_producto]]))</f>
        <v>S111F2602060800</v>
      </c>
      <c r="L1564" t="str">
        <f>LEFT(Tabla2[[#This Row],[codigo_producto]],FIND("/",Tabla2[[#This Row],[codigo_producto]])-1)</f>
        <v>6</v>
      </c>
      <c r="M156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565" spans="1:13" x14ac:dyDescent="0.25">
      <c r="A1565" t="s">
        <v>4377</v>
      </c>
      <c r="B1565" t="s">
        <v>2274</v>
      </c>
      <c r="C1565" t="s">
        <v>2274</v>
      </c>
      <c r="D1565">
        <v>32</v>
      </c>
      <c r="E1565">
        <v>1</v>
      </c>
      <c r="F1565">
        <v>9</v>
      </c>
      <c r="G1565">
        <v>12</v>
      </c>
      <c r="H1565" t="s">
        <v>2814</v>
      </c>
      <c r="I156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65" t="s">
        <v>1570</v>
      </c>
      <c r="K1565" t="str">
        <f>RIGHT(Tabla2[[#This Row],[codigo_producto]],LEN(Tabla2[[#This Row],[codigo_producto]])-FIND("/",Tabla2[[#This Row],[codigo_producto]]))</f>
        <v>S111F2603010600</v>
      </c>
      <c r="L1565" t="str">
        <f>LEFT(Tabla2[[#This Row],[codigo_producto]],FIND("/",Tabla2[[#This Row],[codigo_producto]])-1)</f>
        <v>6</v>
      </c>
      <c r="M156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566" spans="1:13" x14ac:dyDescent="0.25">
      <c r="A1566" t="s">
        <v>4378</v>
      </c>
      <c r="B1566" t="s">
        <v>2275</v>
      </c>
      <c r="C1566" t="s">
        <v>2275</v>
      </c>
      <c r="D1566">
        <v>32</v>
      </c>
      <c r="E1566">
        <v>1</v>
      </c>
      <c r="F1566">
        <v>9</v>
      </c>
      <c r="G1566">
        <v>12</v>
      </c>
      <c r="H1566" t="s">
        <v>2814</v>
      </c>
      <c r="I156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66" t="s">
        <v>1571</v>
      </c>
      <c r="K1566" t="str">
        <f>RIGHT(Tabla2[[#This Row],[codigo_producto]],LEN(Tabla2[[#This Row],[codigo_producto]])-FIND("/",Tabla2[[#This Row],[codigo_producto]]))</f>
        <v>S111F2603011000</v>
      </c>
      <c r="L1566" t="str">
        <f>LEFT(Tabla2[[#This Row],[codigo_producto]],FIND("/",Tabla2[[#This Row],[codigo_producto]])-1)</f>
        <v>6</v>
      </c>
      <c r="M156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567" spans="1:13" x14ac:dyDescent="0.25">
      <c r="A1567" t="s">
        <v>4379</v>
      </c>
      <c r="B1567" t="s">
        <v>2262</v>
      </c>
      <c r="C1567" t="s">
        <v>2262</v>
      </c>
      <c r="D1567">
        <v>32</v>
      </c>
      <c r="E1567">
        <v>1</v>
      </c>
      <c r="F1567">
        <v>9</v>
      </c>
      <c r="G1567">
        <v>12</v>
      </c>
      <c r="H1567" t="s">
        <v>2814</v>
      </c>
      <c r="I156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67" t="s">
        <v>1572</v>
      </c>
      <c r="K1567" t="str">
        <f>RIGHT(Tabla2[[#This Row],[codigo_producto]],LEN(Tabla2[[#This Row],[codigo_producto]])-FIND("/",Tabla2[[#This Row],[codigo_producto]]))</f>
        <v>S111F2603030901</v>
      </c>
      <c r="L1567" t="str">
        <f>LEFT(Tabla2[[#This Row],[codigo_producto]],FIND("/",Tabla2[[#This Row],[codigo_producto]])-1)</f>
        <v>6</v>
      </c>
      <c r="M156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568" spans="1:13" x14ac:dyDescent="0.25">
      <c r="A1568" t="s">
        <v>4380</v>
      </c>
      <c r="B1568" t="s">
        <v>2757</v>
      </c>
      <c r="C1568" t="s">
        <v>2757</v>
      </c>
      <c r="D1568">
        <v>32</v>
      </c>
      <c r="E1568">
        <v>1</v>
      </c>
      <c r="F1568">
        <v>9</v>
      </c>
      <c r="G1568">
        <v>12</v>
      </c>
      <c r="H1568" t="s">
        <v>2814</v>
      </c>
      <c r="I156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68" t="s">
        <v>1573</v>
      </c>
      <c r="K1568" t="str">
        <f>RIGHT(Tabla2[[#This Row],[codigo_producto]],LEN(Tabla2[[#This Row],[codigo_producto]])-FIND("/",Tabla2[[#This Row],[codigo_producto]]))</f>
        <v>S111F2603031601</v>
      </c>
      <c r="L1568" t="str">
        <f>LEFT(Tabla2[[#This Row],[codigo_producto]],FIND("/",Tabla2[[#This Row],[codigo_producto]])-1)</f>
        <v>6</v>
      </c>
      <c r="M156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569" spans="1:13" x14ac:dyDescent="0.25">
      <c r="A1569" t="s">
        <v>4381</v>
      </c>
      <c r="B1569" t="s">
        <v>1829</v>
      </c>
      <c r="C1569" t="s">
        <v>1829</v>
      </c>
      <c r="D1569">
        <v>32</v>
      </c>
      <c r="E1569">
        <v>1</v>
      </c>
      <c r="F1569">
        <v>9</v>
      </c>
      <c r="G1569">
        <v>12</v>
      </c>
      <c r="H1569" t="s">
        <v>2814</v>
      </c>
      <c r="I156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69" t="s">
        <v>1574</v>
      </c>
      <c r="K1569" t="str">
        <f>RIGHT(Tabla2[[#This Row],[codigo_producto]],LEN(Tabla2[[#This Row],[codigo_producto]])-FIND("/",Tabla2[[#This Row],[codigo_producto]]))</f>
        <v>S111F2801031703</v>
      </c>
      <c r="L1569" t="str">
        <f>LEFT(Tabla2[[#This Row],[codigo_producto]],FIND("/",Tabla2[[#This Row],[codigo_producto]])-1)</f>
        <v>6</v>
      </c>
      <c r="M156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570" spans="1:13" x14ac:dyDescent="0.25">
      <c r="A1570" t="s">
        <v>4382</v>
      </c>
      <c r="B1570" t="s">
        <v>1715</v>
      </c>
      <c r="C1570" t="s">
        <v>1715</v>
      </c>
      <c r="D1570">
        <v>32</v>
      </c>
      <c r="E1570">
        <v>1</v>
      </c>
      <c r="F1570">
        <v>9</v>
      </c>
      <c r="G1570">
        <v>12</v>
      </c>
      <c r="H1570" t="s">
        <v>2814</v>
      </c>
      <c r="I157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70" t="s">
        <v>1575</v>
      </c>
      <c r="K1570" t="str">
        <f>RIGHT(Tabla2[[#This Row],[codigo_producto]],LEN(Tabla2[[#This Row],[codigo_producto]])-FIND("/",Tabla2[[#This Row],[codigo_producto]]))</f>
        <v>S202F2105010200</v>
      </c>
      <c r="L1570" t="str">
        <f>LEFT(Tabla2[[#This Row],[codigo_producto]],FIND("/",Tabla2[[#This Row],[codigo_producto]])-1)</f>
        <v>6</v>
      </c>
      <c r="M157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571" spans="1:13" x14ac:dyDescent="0.25">
      <c r="A1571" t="s">
        <v>4383</v>
      </c>
      <c r="B1571" t="s">
        <v>2274</v>
      </c>
      <c r="C1571" t="s">
        <v>2274</v>
      </c>
      <c r="D1571">
        <v>32</v>
      </c>
      <c r="E1571">
        <v>1</v>
      </c>
      <c r="F1571">
        <v>9</v>
      </c>
      <c r="G1571">
        <v>12</v>
      </c>
      <c r="H1571" t="s">
        <v>2814</v>
      </c>
      <c r="I157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71" t="s">
        <v>1576</v>
      </c>
      <c r="K1571" t="str">
        <f>RIGHT(Tabla2[[#This Row],[codigo_producto]],LEN(Tabla2[[#This Row],[codigo_producto]])-FIND("/",Tabla2[[#This Row],[codigo_producto]]))</f>
        <v>S202F2603010800</v>
      </c>
      <c r="L1571" t="str">
        <f>LEFT(Tabla2[[#This Row],[codigo_producto]],FIND("/",Tabla2[[#This Row],[codigo_producto]])-1)</f>
        <v>6</v>
      </c>
      <c r="M157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572" spans="1:13" x14ac:dyDescent="0.25">
      <c r="A1572" t="s">
        <v>4384</v>
      </c>
      <c r="B1572" t="s">
        <v>2275</v>
      </c>
      <c r="C1572" t="s">
        <v>2275</v>
      </c>
      <c r="D1572">
        <v>32</v>
      </c>
      <c r="E1572">
        <v>1</v>
      </c>
      <c r="F1572">
        <v>9</v>
      </c>
      <c r="G1572">
        <v>12</v>
      </c>
      <c r="H1572" t="s">
        <v>2814</v>
      </c>
      <c r="I157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72" t="s">
        <v>1577</v>
      </c>
      <c r="K1572" t="str">
        <f>RIGHT(Tabla2[[#This Row],[codigo_producto]],LEN(Tabla2[[#This Row],[codigo_producto]])-FIND("/",Tabla2[[#This Row],[codigo_producto]]))</f>
        <v>S202F2603011400</v>
      </c>
      <c r="L1572" t="str">
        <f>LEFT(Tabla2[[#This Row],[codigo_producto]],FIND("/",Tabla2[[#This Row],[codigo_producto]])-1)</f>
        <v>6</v>
      </c>
      <c r="M157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573" spans="1:13" x14ac:dyDescent="0.25">
      <c r="A1573" t="s">
        <v>4385</v>
      </c>
      <c r="B1573" t="s">
        <v>2262</v>
      </c>
      <c r="C1573" t="s">
        <v>2262</v>
      </c>
      <c r="D1573">
        <v>32</v>
      </c>
      <c r="E1573">
        <v>1</v>
      </c>
      <c r="F1573">
        <v>9</v>
      </c>
      <c r="G1573">
        <v>12</v>
      </c>
      <c r="H1573" t="s">
        <v>2814</v>
      </c>
      <c r="I157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73" t="s">
        <v>1578</v>
      </c>
      <c r="K1573" t="str">
        <f>RIGHT(Tabla2[[#This Row],[codigo_producto]],LEN(Tabla2[[#This Row],[codigo_producto]])-FIND("/",Tabla2[[#This Row],[codigo_producto]]))</f>
        <v>S202F2603030700</v>
      </c>
      <c r="L1573" t="str">
        <f>LEFT(Tabla2[[#This Row],[codigo_producto]],FIND("/",Tabla2[[#This Row],[codigo_producto]])-1)</f>
        <v>6</v>
      </c>
      <c r="M157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574" spans="1:13" x14ac:dyDescent="0.25">
      <c r="A1574" t="s">
        <v>4386</v>
      </c>
      <c r="B1574" t="s">
        <v>2263</v>
      </c>
      <c r="C1574" t="s">
        <v>2263</v>
      </c>
      <c r="D1574">
        <v>32</v>
      </c>
      <c r="E1574">
        <v>1</v>
      </c>
      <c r="F1574">
        <v>9</v>
      </c>
      <c r="G1574">
        <v>12</v>
      </c>
      <c r="H1574" t="s">
        <v>2814</v>
      </c>
      <c r="I157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74" t="s">
        <v>1579</v>
      </c>
      <c r="K1574" t="str">
        <f>RIGHT(Tabla2[[#This Row],[codigo_producto]],LEN(Tabla2[[#This Row],[codigo_producto]])-FIND("/",Tabla2[[#This Row],[codigo_producto]]))</f>
        <v>S202F2603031200</v>
      </c>
      <c r="L1574" t="str">
        <f>LEFT(Tabla2[[#This Row],[codigo_producto]],FIND("/",Tabla2[[#This Row],[codigo_producto]])-1)</f>
        <v>6</v>
      </c>
      <c r="M157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575" spans="1:13" x14ac:dyDescent="0.25">
      <c r="A1575" t="s">
        <v>4387</v>
      </c>
      <c r="B1575" t="s">
        <v>2274</v>
      </c>
      <c r="C1575" t="s">
        <v>2274</v>
      </c>
      <c r="D1575">
        <v>32</v>
      </c>
      <c r="E1575">
        <v>1</v>
      </c>
      <c r="F1575">
        <v>9</v>
      </c>
      <c r="G1575">
        <v>12</v>
      </c>
      <c r="H1575" t="s">
        <v>2814</v>
      </c>
      <c r="I157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75" t="s">
        <v>1580</v>
      </c>
      <c r="K1575" t="str">
        <f>RIGHT(Tabla2[[#This Row],[codigo_producto]],LEN(Tabla2[[#This Row],[codigo_producto]])-FIND("/",Tabla2[[#This Row],[codigo_producto]]))</f>
        <v>S203F2603010800</v>
      </c>
      <c r="L1575" t="str">
        <f>LEFT(Tabla2[[#This Row],[codigo_producto]],FIND("/",Tabla2[[#This Row],[codigo_producto]])-1)</f>
        <v>6</v>
      </c>
      <c r="M157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576" spans="1:13" x14ac:dyDescent="0.25">
      <c r="A1576" t="s">
        <v>4388</v>
      </c>
      <c r="B1576" t="s">
        <v>2275</v>
      </c>
      <c r="C1576" t="s">
        <v>2275</v>
      </c>
      <c r="D1576">
        <v>32</v>
      </c>
      <c r="E1576">
        <v>1</v>
      </c>
      <c r="F1576">
        <v>9</v>
      </c>
      <c r="G1576">
        <v>12</v>
      </c>
      <c r="H1576" t="s">
        <v>2814</v>
      </c>
      <c r="I157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76" t="s">
        <v>1581</v>
      </c>
      <c r="K1576" t="str">
        <f>RIGHT(Tabla2[[#This Row],[codigo_producto]],LEN(Tabla2[[#This Row],[codigo_producto]])-FIND("/",Tabla2[[#This Row],[codigo_producto]]))</f>
        <v>S203F2603011300</v>
      </c>
      <c r="L1576" t="str">
        <f>LEFT(Tabla2[[#This Row],[codigo_producto]],FIND("/",Tabla2[[#This Row],[codigo_producto]])-1)</f>
        <v>6</v>
      </c>
      <c r="M157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577" spans="1:13" x14ac:dyDescent="0.25">
      <c r="A1577" t="s">
        <v>4389</v>
      </c>
      <c r="B1577" t="s">
        <v>2758</v>
      </c>
      <c r="C1577" t="s">
        <v>2758</v>
      </c>
      <c r="D1577">
        <v>32</v>
      </c>
      <c r="E1577">
        <v>1</v>
      </c>
      <c r="F1577">
        <v>9</v>
      </c>
      <c r="G1577">
        <v>12</v>
      </c>
      <c r="H1577" t="s">
        <v>2814</v>
      </c>
      <c r="I157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77" t="s">
        <v>1582</v>
      </c>
      <c r="K1577" t="str">
        <f>RIGHT(Tabla2[[#This Row],[codigo_producto]],LEN(Tabla2[[#This Row],[codigo_producto]])-FIND("/",Tabla2[[#This Row],[codigo_producto]]))</f>
        <v>S203F2709020202</v>
      </c>
      <c r="L1577" t="str">
        <f>LEFT(Tabla2[[#This Row],[codigo_producto]],FIND("/",Tabla2[[#This Row],[codigo_producto]])-1)</f>
        <v>6</v>
      </c>
      <c r="M157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578" spans="1:13" x14ac:dyDescent="0.25">
      <c r="A1578" t="s">
        <v>4390</v>
      </c>
      <c r="B1578" t="s">
        <v>2619</v>
      </c>
      <c r="C1578" t="s">
        <v>2619</v>
      </c>
      <c r="D1578">
        <v>32</v>
      </c>
      <c r="E1578">
        <v>1</v>
      </c>
      <c r="F1578">
        <v>9</v>
      </c>
      <c r="G1578">
        <v>12</v>
      </c>
      <c r="H1578" t="s">
        <v>2814</v>
      </c>
      <c r="I157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78" t="s">
        <v>1583</v>
      </c>
      <c r="K1578" t="str">
        <f>RIGHT(Tabla2[[#This Row],[codigo_producto]],LEN(Tabla2[[#This Row],[codigo_producto]])-FIND("/",Tabla2[[#This Row],[codigo_producto]]))</f>
        <v>S203F2807050100</v>
      </c>
      <c r="L1578" t="str">
        <f>LEFT(Tabla2[[#This Row],[codigo_producto]],FIND("/",Tabla2[[#This Row],[codigo_producto]])-1)</f>
        <v>6</v>
      </c>
      <c r="M157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579" spans="1:13" x14ac:dyDescent="0.25">
      <c r="A1579" t="s">
        <v>4391</v>
      </c>
      <c r="B1579" t="s">
        <v>1829</v>
      </c>
      <c r="C1579" t="s">
        <v>1829</v>
      </c>
      <c r="D1579">
        <v>32</v>
      </c>
      <c r="E1579">
        <v>1</v>
      </c>
      <c r="F1579">
        <v>9</v>
      </c>
      <c r="G1579">
        <v>12</v>
      </c>
      <c r="H1579" t="s">
        <v>2814</v>
      </c>
      <c r="I157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79" t="s">
        <v>1584</v>
      </c>
      <c r="K1579" t="str">
        <f>RIGHT(Tabla2[[#This Row],[codigo_producto]],LEN(Tabla2[[#This Row],[codigo_producto]])-FIND("/",Tabla2[[#This Row],[codigo_producto]]))</f>
        <v>S302F2801032601</v>
      </c>
      <c r="L1579" t="str">
        <f>LEFT(Tabla2[[#This Row],[codigo_producto]],FIND("/",Tabla2[[#This Row],[codigo_producto]])-1)</f>
        <v>6</v>
      </c>
      <c r="M157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580" spans="1:13" x14ac:dyDescent="0.25">
      <c r="A1580" t="s">
        <v>4392</v>
      </c>
      <c r="B1580" t="s">
        <v>2759</v>
      </c>
      <c r="C1580" t="s">
        <v>2759</v>
      </c>
      <c r="D1580">
        <v>32</v>
      </c>
      <c r="E1580">
        <v>1</v>
      </c>
      <c r="F1580">
        <v>9</v>
      </c>
      <c r="G1580">
        <v>12</v>
      </c>
      <c r="H1580" t="s">
        <v>2814</v>
      </c>
      <c r="I158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80" t="s">
        <v>1585</v>
      </c>
      <c r="K1580" t="str">
        <f>RIGHT(Tabla2[[#This Row],[codigo_producto]],LEN(Tabla2[[#This Row],[codigo_producto]])-FIND("/",Tabla2[[#This Row],[codigo_producto]]))</f>
        <v>S311F2602060501</v>
      </c>
      <c r="L1580" t="str">
        <f>LEFT(Tabla2[[#This Row],[codigo_producto]],FIND("/",Tabla2[[#This Row],[codigo_producto]])-1)</f>
        <v>6</v>
      </c>
      <c r="M158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581" spans="1:13" x14ac:dyDescent="0.25">
      <c r="A1581" t="s">
        <v>4393</v>
      </c>
      <c r="B1581" t="s">
        <v>2760</v>
      </c>
      <c r="C1581" t="s">
        <v>2760</v>
      </c>
      <c r="D1581">
        <v>32</v>
      </c>
      <c r="E1581">
        <v>5</v>
      </c>
      <c r="F1581">
        <v>9</v>
      </c>
      <c r="G1581">
        <v>12</v>
      </c>
      <c r="H1581" t="s">
        <v>2814</v>
      </c>
      <c r="I158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81" t="s">
        <v>1586</v>
      </c>
      <c r="K1581" t="str">
        <f>RIGHT(Tabla2[[#This Row],[codigo_producto]],LEN(Tabla2[[#This Row],[codigo_producto]])-FIND("/",Tabla2[[#This Row],[codigo_producto]]))</f>
        <v>1008020GG010OTS</v>
      </c>
      <c r="L1581" t="str">
        <f>LEFT(Tabla2[[#This Row],[codigo_producto]],FIND("/",Tabla2[[#This Row],[codigo_producto]])-1)</f>
        <v>7</v>
      </c>
      <c r="M158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582" spans="1:13" x14ac:dyDescent="0.25">
      <c r="A1582" t="s">
        <v>4394</v>
      </c>
      <c r="B1582" t="s">
        <v>2761</v>
      </c>
      <c r="C1582" t="s">
        <v>2761</v>
      </c>
      <c r="D1582">
        <v>32</v>
      </c>
      <c r="E1582">
        <v>5</v>
      </c>
      <c r="F1582">
        <v>9</v>
      </c>
      <c r="G1582">
        <v>12</v>
      </c>
      <c r="H1582" t="s">
        <v>2814</v>
      </c>
      <c r="I158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82" t="s">
        <v>1587</v>
      </c>
      <c r="K1582" t="str">
        <f>RIGHT(Tabla2[[#This Row],[codigo_producto]],LEN(Tabla2[[#This Row],[codigo_producto]])-FIND("/",Tabla2[[#This Row],[codigo_producto]]))</f>
        <v>1026110FA040-BJ</v>
      </c>
      <c r="L1582" t="str">
        <f>LEFT(Tabla2[[#This Row],[codigo_producto]],FIND("/",Tabla2[[#This Row],[codigo_producto]])-1)</f>
        <v>7</v>
      </c>
      <c r="M158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583" spans="1:13" x14ac:dyDescent="0.25">
      <c r="A1583" t="s">
        <v>4395</v>
      </c>
      <c r="B1583" t="s">
        <v>2762</v>
      </c>
      <c r="C1583" t="s">
        <v>2762</v>
      </c>
      <c r="D1583">
        <v>32</v>
      </c>
      <c r="E1583">
        <v>5</v>
      </c>
      <c r="F1583">
        <v>9</v>
      </c>
      <c r="G1583">
        <v>12</v>
      </c>
      <c r="H1583" t="s">
        <v>2814</v>
      </c>
      <c r="I158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83" t="s">
        <v>1588</v>
      </c>
      <c r="K1583" t="str">
        <f>RIGHT(Tabla2[[#This Row],[codigo_producto]],LEN(Tabla2[[#This Row],[codigo_producto]])-FIND("/",Tabla2[[#This Row],[codigo_producto]]))</f>
        <v>3402100U1930OTS</v>
      </c>
      <c r="L1583" t="str">
        <f>LEFT(Tabla2[[#This Row],[codigo_producto]],FIND("/",Tabla2[[#This Row],[codigo_producto]])-1)</f>
        <v>7</v>
      </c>
      <c r="M158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584" spans="1:13" x14ac:dyDescent="0.25">
      <c r="A1584" t="s">
        <v>4396</v>
      </c>
      <c r="B1584" t="s">
        <v>2763</v>
      </c>
      <c r="C1584" t="s">
        <v>2763</v>
      </c>
      <c r="D1584">
        <v>32</v>
      </c>
      <c r="E1584">
        <v>5</v>
      </c>
      <c r="F1584">
        <v>9</v>
      </c>
      <c r="G1584">
        <v>12</v>
      </c>
      <c r="H1584" t="s">
        <v>2814</v>
      </c>
      <c r="I158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84" t="s">
        <v>1589</v>
      </c>
      <c r="K1584" t="str">
        <f>RIGHT(Tabla2[[#This Row],[codigo_producto]],LEN(Tabla2[[#This Row],[codigo_producto]])-FIND("/",Tabla2[[#This Row],[codigo_producto]]))</f>
        <v>3402500U1930OTS</v>
      </c>
      <c r="L1584" t="str">
        <f>LEFT(Tabla2[[#This Row],[codigo_producto]],FIND("/",Tabla2[[#This Row],[codigo_producto]])-1)</f>
        <v>7</v>
      </c>
      <c r="M158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585" spans="1:13" x14ac:dyDescent="0.25">
      <c r="A1585" t="s">
        <v>4397</v>
      </c>
      <c r="B1585" t="s">
        <v>1958</v>
      </c>
      <c r="C1585" t="s">
        <v>1958</v>
      </c>
      <c r="D1585">
        <v>32</v>
      </c>
      <c r="E1585">
        <v>5</v>
      </c>
      <c r="F1585">
        <v>9</v>
      </c>
      <c r="G1585">
        <v>12</v>
      </c>
      <c r="H1585" t="s">
        <v>2814</v>
      </c>
      <c r="I158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85" t="s">
        <v>1590</v>
      </c>
      <c r="K1585" t="str">
        <f>RIGHT(Tabla2[[#This Row],[codigo_producto]],LEN(Tabla2[[#This Row],[codigo_producto]])-FIND("/",Tabla2[[#This Row],[codigo_producto]]))</f>
        <v>3569100U1510-01</v>
      </c>
      <c r="L1585" t="str">
        <f>LEFT(Tabla2[[#This Row],[codigo_producto]],FIND("/",Tabla2[[#This Row],[codigo_producto]])-1)</f>
        <v>7</v>
      </c>
      <c r="M158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586" spans="1:13" x14ac:dyDescent="0.25">
      <c r="A1586" t="s">
        <v>4398</v>
      </c>
      <c r="B1586" t="s">
        <v>2764</v>
      </c>
      <c r="C1586" t="s">
        <v>2764</v>
      </c>
      <c r="D1586">
        <v>32</v>
      </c>
      <c r="E1586">
        <v>5</v>
      </c>
      <c r="F1586">
        <v>9</v>
      </c>
      <c r="G1586">
        <v>12</v>
      </c>
      <c r="H1586" t="s">
        <v>2814</v>
      </c>
      <c r="I158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86" t="s">
        <v>1591</v>
      </c>
      <c r="K1586" t="str">
        <f>RIGHT(Tabla2[[#This Row],[codigo_producto]],LEN(Tabla2[[#This Row],[codigo_producto]])-FIND("/",Tabla2[[#This Row],[codigo_producto]]))</f>
        <v>5811200U3400OTS</v>
      </c>
      <c r="L1586" t="str">
        <f>LEFT(Tabla2[[#This Row],[codigo_producto]],FIND("/",Tabla2[[#This Row],[codigo_producto]])-1)</f>
        <v>7</v>
      </c>
      <c r="M158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587" spans="1:13" x14ac:dyDescent="0.25">
      <c r="A1587" t="s">
        <v>4399</v>
      </c>
      <c r="B1587" t="s">
        <v>2765</v>
      </c>
      <c r="C1587" t="s">
        <v>2765</v>
      </c>
      <c r="D1587">
        <v>32</v>
      </c>
      <c r="E1587">
        <v>5</v>
      </c>
      <c r="F1587">
        <v>9</v>
      </c>
      <c r="G1587">
        <v>12</v>
      </c>
      <c r="H1587" t="s">
        <v>2814</v>
      </c>
      <c r="I158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87" t="s">
        <v>1592</v>
      </c>
      <c r="K1587" t="str">
        <f>RIGHT(Tabla2[[#This Row],[codigo_producto]],LEN(Tabla2[[#This Row],[codigo_producto]])-FIND("/",Tabla2[[#This Row],[codigo_producto]]))</f>
        <v>HC-6450-3502022</v>
      </c>
      <c r="L1587" t="str">
        <f>LEFT(Tabla2[[#This Row],[codigo_producto]],FIND("/",Tabla2[[#This Row],[codigo_producto]])-1)</f>
        <v>7</v>
      </c>
      <c r="M158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588" spans="1:13" x14ac:dyDescent="0.25">
      <c r="A1588" t="s">
        <v>4400</v>
      </c>
      <c r="B1588" t="s">
        <v>2766</v>
      </c>
      <c r="C1588" t="s">
        <v>2766</v>
      </c>
      <c r="D1588">
        <v>32</v>
      </c>
      <c r="E1588">
        <v>5</v>
      </c>
      <c r="F1588">
        <v>9</v>
      </c>
      <c r="G1588">
        <v>12</v>
      </c>
      <c r="H1588" t="s">
        <v>2814</v>
      </c>
      <c r="I158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88" t="s">
        <v>1593</v>
      </c>
      <c r="K1588" t="str">
        <f>RIGHT(Tabla2[[#This Row],[codigo_producto]],LEN(Tabla2[[#This Row],[codigo_producto]])-FIND("/",Tabla2[[#This Row],[codigo_producto]]))</f>
        <v>HYF3502P442-030</v>
      </c>
      <c r="L1588" t="str">
        <f>LEFT(Tabla2[[#This Row],[codigo_producto]],FIND("/",Tabla2[[#This Row],[codigo_producto]])-1)</f>
        <v>7</v>
      </c>
      <c r="M158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589" spans="1:13" x14ac:dyDescent="0.25">
      <c r="A1589" t="s">
        <v>4401</v>
      </c>
      <c r="B1589" t="s">
        <v>2767</v>
      </c>
      <c r="C1589" t="s">
        <v>2767</v>
      </c>
      <c r="D1589">
        <v>32</v>
      </c>
      <c r="E1589">
        <v>5</v>
      </c>
      <c r="F1589">
        <v>9</v>
      </c>
      <c r="G1589">
        <v>12</v>
      </c>
      <c r="H1589" t="s">
        <v>2814</v>
      </c>
      <c r="I158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89" t="s">
        <v>1594</v>
      </c>
      <c r="K1589" t="str">
        <f>RIGHT(Tabla2[[#This Row],[codigo_producto]],LEN(Tabla2[[#This Row],[codigo_producto]])-FIND("/",Tabla2[[#This Row],[codigo_producto]]))</f>
        <v>R-1701240-00-02</v>
      </c>
      <c r="L1589" t="str">
        <f>LEFT(Tabla2[[#This Row],[codigo_producto]],FIND("/",Tabla2[[#This Row],[codigo_producto]])-1)</f>
        <v>7</v>
      </c>
      <c r="M158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590" spans="1:13" x14ac:dyDescent="0.25">
      <c r="A1590" t="s">
        <v>4402</v>
      </c>
      <c r="B1590" t="s">
        <v>2768</v>
      </c>
      <c r="C1590" t="s">
        <v>2768</v>
      </c>
      <c r="D1590">
        <v>32</v>
      </c>
      <c r="E1590">
        <v>5</v>
      </c>
      <c r="F1590">
        <v>9</v>
      </c>
      <c r="G1590">
        <v>12</v>
      </c>
      <c r="H1590" t="s">
        <v>2814</v>
      </c>
      <c r="I159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90" t="s">
        <v>1595</v>
      </c>
      <c r="K1590" t="str">
        <f>RIGHT(Tabla2[[#This Row],[codigo_producto]],LEN(Tabla2[[#This Row],[codigo_producto]])-FIND("/",Tabla2[[#This Row],[codigo_producto]]))</f>
        <v>ZMTC18A-1803010</v>
      </c>
      <c r="L1590" t="str">
        <f>LEFT(Tabla2[[#This Row],[codigo_producto]],FIND("/",Tabla2[[#This Row],[codigo_producto]])-1)</f>
        <v>7</v>
      </c>
      <c r="M159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591" spans="1:13" x14ac:dyDescent="0.25">
      <c r="A1591" t="s">
        <v>4403</v>
      </c>
      <c r="B1591" t="s">
        <v>1715</v>
      </c>
      <c r="C1591" t="s">
        <v>1715</v>
      </c>
      <c r="D1591">
        <v>32</v>
      </c>
      <c r="E1591">
        <v>8</v>
      </c>
      <c r="F1591">
        <v>9</v>
      </c>
      <c r="G1591">
        <v>12</v>
      </c>
      <c r="H1591" t="s">
        <v>2814</v>
      </c>
      <c r="I159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91" t="s">
        <v>1596</v>
      </c>
      <c r="K1591" t="str">
        <f>RIGHT(Tabla2[[#This Row],[codigo_producto]],LEN(Tabla2[[#This Row],[codigo_producto]])-FIND("/",Tabla2[[#This Row],[codigo_producto]]))</f>
        <v>13780M79F00000-C</v>
      </c>
      <c r="L1591" t="str">
        <f>LEFT(Tabla2[[#This Row],[codigo_producto]],FIND("/",Tabla2[[#This Row],[codigo_producto]])-1)</f>
        <v>1</v>
      </c>
      <c r="M159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592" spans="1:13" x14ac:dyDescent="0.25">
      <c r="A1592" t="s">
        <v>4404</v>
      </c>
      <c r="B1592" t="s">
        <v>2769</v>
      </c>
      <c r="C1592" t="s">
        <v>2769</v>
      </c>
      <c r="D1592">
        <v>32</v>
      </c>
      <c r="E1592">
        <v>8</v>
      </c>
      <c r="F1592">
        <v>9</v>
      </c>
      <c r="G1592">
        <v>12</v>
      </c>
      <c r="H1592" t="s">
        <v>2814</v>
      </c>
      <c r="I159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92" t="s">
        <v>1597</v>
      </c>
      <c r="K1592" t="str">
        <f>RIGHT(Tabla2[[#This Row],[codigo_producto]],LEN(Tabla2[[#This Row],[codigo_producto]])-FIND("/",Tabla2[[#This Row],[codigo_producto]]))</f>
        <v>KITSEGSUZSPRESSO</v>
      </c>
      <c r="L1592" t="str">
        <f>LEFT(Tabla2[[#This Row],[codigo_producto]],FIND("/",Tabla2[[#This Row],[codigo_producto]])-1)</f>
        <v>1</v>
      </c>
      <c r="M159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593" spans="1:13" x14ac:dyDescent="0.25">
      <c r="A1593" t="s">
        <v>4405</v>
      </c>
      <c r="B1593" t="s">
        <v>2770</v>
      </c>
      <c r="C1593" t="s">
        <v>2770</v>
      </c>
      <c r="D1593">
        <v>22</v>
      </c>
      <c r="E1593">
        <v>8</v>
      </c>
      <c r="F1593">
        <v>9</v>
      </c>
      <c r="G1593">
        <v>12</v>
      </c>
      <c r="H1593" t="s">
        <v>2815</v>
      </c>
      <c r="I159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1593" t="s">
        <v>1598</v>
      </c>
      <c r="K1593" t="str">
        <f>RIGHT(Tabla2[[#This Row],[codigo_producto]],LEN(Tabla2[[#This Row],[codigo_producto]])-FIND("/",Tabla2[[#This Row],[codigo_producto]]))</f>
        <v>KITSEGSWIFTSEDAN</v>
      </c>
      <c r="L1593" t="str">
        <f>LEFT(Tabla2[[#This Row],[codigo_producto]],FIND("/",Tabla2[[#This Row],[codigo_producto]])-1)</f>
        <v>1</v>
      </c>
      <c r="M159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594" spans="1:13" x14ac:dyDescent="0.25">
      <c r="A1594" t="s">
        <v>4406</v>
      </c>
      <c r="B1594" t="s">
        <v>2771</v>
      </c>
      <c r="C1594" t="s">
        <v>2771</v>
      </c>
      <c r="D1594">
        <v>32</v>
      </c>
      <c r="E1594">
        <v>13</v>
      </c>
      <c r="F1594">
        <v>9</v>
      </c>
      <c r="G1594">
        <v>12</v>
      </c>
      <c r="H1594" t="s">
        <v>2814</v>
      </c>
      <c r="I159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94" t="s">
        <v>1599</v>
      </c>
      <c r="K1594" t="str">
        <f>RIGHT(Tabla2[[#This Row],[codigo_producto]],LEN(Tabla2[[#This Row],[codigo_producto]])-FIND("/",Tabla2[[#This Row],[codigo_producto]]))</f>
        <v>FOCOLAGRIMON001</v>
      </c>
      <c r="L1594" t="str">
        <f>LEFT(Tabla2[[#This Row],[codigo_producto]],FIND("/",Tabla2[[#This Row],[codigo_producto]])-1)</f>
        <v>10</v>
      </c>
      <c r="M159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595" spans="1:13" x14ac:dyDescent="0.25">
      <c r="A1595" t="s">
        <v>4407</v>
      </c>
      <c r="B1595" t="s">
        <v>2772</v>
      </c>
      <c r="C1595" t="s">
        <v>2772</v>
      </c>
      <c r="D1595">
        <v>21</v>
      </c>
      <c r="E1595">
        <v>13</v>
      </c>
      <c r="F1595">
        <v>9</v>
      </c>
      <c r="G1595">
        <v>12</v>
      </c>
      <c r="H1595" t="s">
        <v>2820</v>
      </c>
      <c r="I159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21</v>
      </c>
      <c r="J1595" t="s">
        <v>1600</v>
      </c>
      <c r="K1595" t="str">
        <f>RIGHT(Tabla2[[#This Row],[codigo_producto]],LEN(Tabla2[[#This Row],[codigo_producto]])-FIND("/",Tabla2[[#This Row],[codigo_producto]]))</f>
        <v>KITSEGNEWSCROSS</v>
      </c>
      <c r="L1595" t="str">
        <f>LEFT(Tabla2[[#This Row],[codigo_producto]],FIND("/",Tabla2[[#This Row],[codigo_producto]])-1)</f>
        <v>10</v>
      </c>
      <c r="M159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596" spans="1:13" x14ac:dyDescent="0.25">
      <c r="A1596" t="s">
        <v>4408</v>
      </c>
      <c r="B1596" t="s">
        <v>2743</v>
      </c>
      <c r="C1596" t="s">
        <v>2743</v>
      </c>
      <c r="D1596">
        <v>32</v>
      </c>
      <c r="E1596">
        <v>13</v>
      </c>
      <c r="F1596">
        <v>9</v>
      </c>
      <c r="G1596">
        <v>12</v>
      </c>
      <c r="H1596" t="s">
        <v>2814</v>
      </c>
      <c r="I159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96" t="s">
        <v>1601</v>
      </c>
      <c r="K1596" t="str">
        <f>RIGHT(Tabla2[[#This Row],[codigo_producto]],LEN(Tabla2[[#This Row],[codigo_producto]])-FIND("/",Tabla2[[#This Row],[codigo_producto]]))</f>
        <v>N1KITSEGPOERAMT</v>
      </c>
      <c r="L1596" t="str">
        <f>LEFT(Tabla2[[#This Row],[codigo_producto]],FIND("/",Tabla2[[#This Row],[codigo_producto]])-1)</f>
        <v>10</v>
      </c>
      <c r="M159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597" spans="1:13" x14ac:dyDescent="0.25">
      <c r="A1597" t="s">
        <v>4409</v>
      </c>
      <c r="B1597" t="s">
        <v>2773</v>
      </c>
      <c r="C1597" t="s">
        <v>2773</v>
      </c>
      <c r="D1597">
        <v>32</v>
      </c>
      <c r="E1597">
        <v>13</v>
      </c>
      <c r="F1597">
        <v>9</v>
      </c>
      <c r="G1597">
        <v>12</v>
      </c>
      <c r="H1597" t="s">
        <v>2814</v>
      </c>
      <c r="I159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97" t="s">
        <v>1602</v>
      </c>
      <c r="K1597" t="str">
        <f>RIGHT(Tabla2[[#This Row],[codigo_producto]],LEN(Tabla2[[#This Row],[codigo_producto]])-FIND("/",Tabla2[[#This Row],[codigo_producto]]))</f>
        <v>PATINPROTECPOER</v>
      </c>
      <c r="L1597" t="str">
        <f>LEFT(Tabla2[[#This Row],[codigo_producto]],FIND("/",Tabla2[[#This Row],[codigo_producto]])-1)</f>
        <v>10</v>
      </c>
      <c r="M159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598" spans="1:13" x14ac:dyDescent="0.25">
      <c r="A1598" t="s">
        <v>4410</v>
      </c>
      <c r="B1598" t="s">
        <v>2774</v>
      </c>
      <c r="C1598" t="s">
        <v>2774</v>
      </c>
      <c r="D1598">
        <v>31</v>
      </c>
      <c r="E1598">
        <v>9</v>
      </c>
      <c r="F1598">
        <v>9</v>
      </c>
      <c r="G1598">
        <v>12</v>
      </c>
      <c r="H1598" t="s">
        <v>2818</v>
      </c>
      <c r="I159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598" t="s">
        <v>1603</v>
      </c>
      <c r="K1598" t="str">
        <f>RIGHT(Tabla2[[#This Row],[codigo_producto]],LEN(Tabla2[[#This Row],[codigo_producto]])-FIND("/",Tabla2[[#This Row],[codigo_producto]]))</f>
        <v>B-1701291-40-00</v>
      </c>
      <c r="L1598" t="str">
        <f>LEFT(Tabla2[[#This Row],[codigo_producto]],FIND("/",Tabla2[[#This Row],[codigo_producto]])-1)</f>
        <v>11</v>
      </c>
      <c r="M159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9</v>
      </c>
    </row>
    <row r="1599" spans="1:13" x14ac:dyDescent="0.25">
      <c r="A1599" t="s">
        <v>4411</v>
      </c>
      <c r="B1599" t="s">
        <v>2775</v>
      </c>
      <c r="C1599" t="s">
        <v>2775</v>
      </c>
      <c r="D1599">
        <v>31</v>
      </c>
      <c r="E1599">
        <v>9</v>
      </c>
      <c r="F1599">
        <v>9</v>
      </c>
      <c r="G1599">
        <v>12</v>
      </c>
      <c r="H1599" t="s">
        <v>2818</v>
      </c>
      <c r="I159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599" t="s">
        <v>1604</v>
      </c>
      <c r="K1599" t="str">
        <f>RIGHT(Tabla2[[#This Row],[codigo_producto]],LEN(Tabla2[[#This Row],[codigo_producto]])-FIND("/",Tabla2[[#This Row],[codigo_producto]]))</f>
        <v>M-1604854-30-00</v>
      </c>
      <c r="L1599" t="str">
        <f>LEFT(Tabla2[[#This Row],[codigo_producto]],FIND("/",Tabla2[[#This Row],[codigo_producto]])-1)</f>
        <v>11</v>
      </c>
      <c r="M159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9</v>
      </c>
    </row>
    <row r="1600" spans="1:13" x14ac:dyDescent="0.25">
      <c r="A1600" t="s">
        <v>4412</v>
      </c>
      <c r="B1600" t="s">
        <v>2776</v>
      </c>
      <c r="C1600" t="s">
        <v>2776</v>
      </c>
      <c r="D1600">
        <v>31</v>
      </c>
      <c r="E1600">
        <v>9</v>
      </c>
      <c r="F1600">
        <v>9</v>
      </c>
      <c r="G1600">
        <v>12</v>
      </c>
      <c r="H1600" t="s">
        <v>2818</v>
      </c>
      <c r="I160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600" t="s">
        <v>1605</v>
      </c>
      <c r="K1600" t="str">
        <f>RIGHT(Tabla2[[#This Row],[codigo_producto]],LEN(Tabla2[[#This Row],[codigo_producto]])-FIND("/",Tabla2[[#This Row],[codigo_producto]]))</f>
        <v>YF3501A104-030L</v>
      </c>
      <c r="L1600" t="str">
        <f>LEFT(Tabla2[[#This Row],[codigo_producto]],FIND("/",Tabla2[[#This Row],[codigo_producto]])-1)</f>
        <v>11</v>
      </c>
      <c r="M160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9</v>
      </c>
    </row>
    <row r="1601" spans="1:13" x14ac:dyDescent="0.25">
      <c r="A1601" t="s">
        <v>4413</v>
      </c>
      <c r="B1601" t="s">
        <v>2777</v>
      </c>
      <c r="C1601" t="s">
        <v>2777</v>
      </c>
      <c r="D1601">
        <v>32</v>
      </c>
      <c r="E1601">
        <v>6</v>
      </c>
      <c r="F1601">
        <v>9</v>
      </c>
      <c r="G1601">
        <v>12</v>
      </c>
      <c r="H1601" t="s">
        <v>2814</v>
      </c>
      <c r="I160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01" t="s">
        <v>1606</v>
      </c>
      <c r="K1601" t="str">
        <f>RIGHT(Tabla2[[#This Row],[codigo_producto]],LEN(Tabla2[[#This Row],[codigo_producto]])-FIND("/",Tabla2[[#This Row],[codigo_producto]]))</f>
        <v>8202103XKU24AOTS</v>
      </c>
      <c r="L1601" t="str">
        <f>LEFT(Tabla2[[#This Row],[codigo_producto]],FIND("/",Tabla2[[#This Row],[codigo_producto]])-1)</f>
        <v>2</v>
      </c>
      <c r="M160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602" spans="1:13" x14ac:dyDescent="0.25">
      <c r="A1602" t="s">
        <v>4414</v>
      </c>
      <c r="B1602" t="s">
        <v>2778</v>
      </c>
      <c r="C1602" t="s">
        <v>2778</v>
      </c>
      <c r="D1602">
        <v>32</v>
      </c>
      <c r="E1602">
        <v>3</v>
      </c>
      <c r="F1602">
        <v>9</v>
      </c>
      <c r="G1602">
        <v>12</v>
      </c>
      <c r="H1602" t="s">
        <v>2814</v>
      </c>
      <c r="I160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02" t="s">
        <v>1607</v>
      </c>
      <c r="K1602" t="str">
        <f>RIGHT(Tabla2[[#This Row],[codigo_producto]],LEN(Tabla2[[#This Row],[codigo_producto]])-FIND("/",Tabla2[[#This Row],[codigo_producto]]))</f>
        <v>6804105XP2WXAOTS</v>
      </c>
      <c r="L1602" t="str">
        <f>LEFT(Tabla2[[#This Row],[codigo_producto]],FIND("/",Tabla2[[#This Row],[codigo_producto]])-1)</f>
        <v>5</v>
      </c>
      <c r="M160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603" spans="1:13" x14ac:dyDescent="0.25">
      <c r="A1603" t="s">
        <v>4415</v>
      </c>
      <c r="B1603" t="s">
        <v>2779</v>
      </c>
      <c r="C1603" t="s">
        <v>2779</v>
      </c>
      <c r="D1603">
        <v>32</v>
      </c>
      <c r="E1603">
        <v>3</v>
      </c>
      <c r="F1603">
        <v>9</v>
      </c>
      <c r="G1603">
        <v>12</v>
      </c>
      <c r="H1603" t="s">
        <v>2814</v>
      </c>
      <c r="I160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03" t="s">
        <v>1608</v>
      </c>
      <c r="K1603" t="str">
        <f>RIGHT(Tabla2[[#This Row],[codigo_producto]],LEN(Tabla2[[#This Row],[codigo_producto]])-FIND("/",Tabla2[[#This Row],[codigo_producto]]))</f>
        <v>7000101XGW02AOTS</v>
      </c>
      <c r="L1603" t="str">
        <f>LEFT(Tabla2[[#This Row],[codigo_producto]],FIND("/",Tabla2[[#This Row],[codigo_producto]])-1)</f>
        <v>5</v>
      </c>
      <c r="M160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604" spans="1:13" x14ac:dyDescent="0.25">
      <c r="A1604" t="s">
        <v>4416</v>
      </c>
      <c r="B1604" t="s">
        <v>2780</v>
      </c>
      <c r="C1604" t="s">
        <v>2780</v>
      </c>
      <c r="D1604">
        <v>22</v>
      </c>
      <c r="E1604">
        <v>3</v>
      </c>
      <c r="F1604">
        <v>9</v>
      </c>
      <c r="G1604">
        <v>12</v>
      </c>
      <c r="H1604" t="s">
        <v>2815</v>
      </c>
      <c r="I160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1604" t="s">
        <v>1609</v>
      </c>
      <c r="K1604" t="str">
        <f>RIGHT(Tabla2[[#This Row],[codigo_producto]],LEN(Tabla2[[#This Row],[codigo_producto]])-FIND("/",Tabla2[[#This Row],[codigo_producto]]))</f>
        <v>PROTTOLVAWINGLE5</v>
      </c>
      <c r="L1604" t="str">
        <f>LEFT(Tabla2[[#This Row],[codigo_producto]],FIND("/",Tabla2[[#This Row],[codigo_producto]])-1)</f>
        <v>5</v>
      </c>
      <c r="M160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605" spans="1:13" x14ac:dyDescent="0.25">
      <c r="A1605" t="s">
        <v>4417</v>
      </c>
      <c r="B1605" t="s">
        <v>2780</v>
      </c>
      <c r="C1605" t="s">
        <v>2780</v>
      </c>
      <c r="D1605">
        <v>22</v>
      </c>
      <c r="E1605">
        <v>3</v>
      </c>
      <c r="F1605">
        <v>9</v>
      </c>
      <c r="G1605">
        <v>12</v>
      </c>
      <c r="H1605" t="s">
        <v>2815</v>
      </c>
      <c r="I160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1605" t="s">
        <v>1610</v>
      </c>
      <c r="K1605" t="str">
        <f>RIGHT(Tabla2[[#This Row],[codigo_producto]],LEN(Tabla2[[#This Row],[codigo_producto]])-FIND("/",Tabla2[[#This Row],[codigo_producto]]))</f>
        <v>PROTTOLVAWINGLE7</v>
      </c>
      <c r="L1605" t="str">
        <f>LEFT(Tabla2[[#This Row],[codigo_producto]],FIND("/",Tabla2[[#This Row],[codigo_producto]])-1)</f>
        <v>5</v>
      </c>
      <c r="M160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606" spans="1:13" x14ac:dyDescent="0.25">
      <c r="A1606" t="s">
        <v>4418</v>
      </c>
      <c r="B1606" t="s">
        <v>2781</v>
      </c>
      <c r="C1606" t="s">
        <v>2781</v>
      </c>
      <c r="D1606">
        <v>32</v>
      </c>
      <c r="E1606">
        <v>4</v>
      </c>
      <c r="F1606">
        <v>9</v>
      </c>
      <c r="G1606">
        <v>12</v>
      </c>
      <c r="H1606" t="s">
        <v>2814</v>
      </c>
      <c r="I160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06" t="s">
        <v>1611</v>
      </c>
      <c r="K1606" t="str">
        <f>RIGHT(Tabla2[[#This Row],[codigo_producto]],LEN(Tabla2[[#This Row],[codigo_producto]])-FIND("/",Tabla2[[#This Row],[codigo_producto]]))</f>
        <v>1014010XEC01OTS</v>
      </c>
      <c r="L1606" t="str">
        <f>LEFT(Tabla2[[#This Row],[codigo_producto]],FIND("/",Tabla2[[#This Row],[codigo_producto]])-1)</f>
        <v>58</v>
      </c>
      <c r="M160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4</v>
      </c>
    </row>
    <row r="1607" spans="1:13" x14ac:dyDescent="0.25">
      <c r="A1607" t="s">
        <v>4419</v>
      </c>
      <c r="B1607" t="s">
        <v>1887</v>
      </c>
      <c r="C1607" t="s">
        <v>1887</v>
      </c>
      <c r="D1607">
        <v>22</v>
      </c>
      <c r="E1607">
        <v>2</v>
      </c>
      <c r="F1607">
        <v>9</v>
      </c>
      <c r="G1607">
        <v>12</v>
      </c>
      <c r="H1607" t="s">
        <v>2815</v>
      </c>
      <c r="I160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1607" t="s">
        <v>1612</v>
      </c>
      <c r="K1607" t="str">
        <f>RIGHT(Tabla2[[#This Row],[codigo_producto]],LEN(Tabla2[[#This Row],[codigo_producto]])-FIND("/",Tabla2[[#This Row],[codigo_producto]]))</f>
        <v>KITSEGCITROENC5</v>
      </c>
      <c r="L1607" t="str">
        <f>LEFT(Tabla2[[#This Row],[codigo_producto]],FIND("/",Tabla2[[#This Row],[codigo_producto]])-1)</f>
        <v>59</v>
      </c>
      <c r="M160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1608" spans="1:13" x14ac:dyDescent="0.25">
      <c r="A1608" t="s">
        <v>4420</v>
      </c>
      <c r="B1608" t="s">
        <v>2782</v>
      </c>
      <c r="C1608" t="s">
        <v>2782</v>
      </c>
      <c r="D1608">
        <v>32</v>
      </c>
      <c r="E1608">
        <v>1</v>
      </c>
      <c r="F1608">
        <v>9</v>
      </c>
      <c r="G1608">
        <v>12</v>
      </c>
      <c r="H1608" t="s">
        <v>2814</v>
      </c>
      <c r="I160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08" t="s">
        <v>1613</v>
      </c>
      <c r="K1608" t="str">
        <f>RIGHT(Tabla2[[#This Row],[codigo_producto]],LEN(Tabla2[[#This Row],[codigo_producto]])-FIND("/",Tabla2[[#This Row],[codigo_producto]]))</f>
        <v>8202104XKU24AOTS</v>
      </c>
      <c r="L1608" t="str">
        <f>LEFT(Tabla2[[#This Row],[codigo_producto]],FIND("/",Tabla2[[#This Row],[codigo_producto]])-1)</f>
        <v>6</v>
      </c>
      <c r="M160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609" spans="1:13" x14ac:dyDescent="0.25">
      <c r="A1609" t="s">
        <v>4421</v>
      </c>
      <c r="B1609" t="s">
        <v>1715</v>
      </c>
      <c r="C1609" t="s">
        <v>1715</v>
      </c>
      <c r="D1609">
        <v>32</v>
      </c>
      <c r="E1609">
        <v>1</v>
      </c>
      <c r="F1609">
        <v>9</v>
      </c>
      <c r="G1609">
        <v>12</v>
      </c>
      <c r="H1609" t="s">
        <v>2814</v>
      </c>
      <c r="I160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09" t="s">
        <v>1614</v>
      </c>
      <c r="K1609" t="str">
        <f>RIGHT(Tabla2[[#This Row],[codigo_producto]],LEN(Tabla2[[#This Row],[codigo_producto]])-FIND("/",Tabla2[[#This Row],[codigo_producto]]))</f>
        <v>CD569F2105010300</v>
      </c>
      <c r="L1609" t="str">
        <f>LEFT(Tabla2[[#This Row],[codigo_producto]],FIND("/",Tabla2[[#This Row],[codigo_producto]])-1)</f>
        <v>6</v>
      </c>
      <c r="M160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610" spans="1:13" x14ac:dyDescent="0.25">
      <c r="A1610" t="s">
        <v>4422</v>
      </c>
      <c r="B1610" t="s">
        <v>1721</v>
      </c>
      <c r="C1610" t="s">
        <v>1721</v>
      </c>
      <c r="D1610">
        <v>32</v>
      </c>
      <c r="E1610">
        <v>1</v>
      </c>
      <c r="F1610">
        <v>9</v>
      </c>
      <c r="G1610">
        <v>12</v>
      </c>
      <c r="H1610" t="s">
        <v>2814</v>
      </c>
      <c r="I161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10" t="s">
        <v>1615</v>
      </c>
      <c r="K1610" t="str">
        <f>RIGHT(Tabla2[[#This Row],[codigo_producto]],LEN(Tabla2[[#This Row],[codigo_producto]])-FIND("/",Tabla2[[#This Row],[codigo_producto]]))</f>
        <v>CD569F2603010700</v>
      </c>
      <c r="L1610" t="str">
        <f>LEFT(Tabla2[[#This Row],[codigo_producto]],FIND("/",Tabla2[[#This Row],[codigo_producto]])-1)</f>
        <v>6</v>
      </c>
      <c r="M161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611" spans="1:13" x14ac:dyDescent="0.25">
      <c r="A1611" t="s">
        <v>4423</v>
      </c>
      <c r="B1611" t="s">
        <v>2274</v>
      </c>
      <c r="C1611" t="s">
        <v>2274</v>
      </c>
      <c r="D1611">
        <v>32</v>
      </c>
      <c r="E1611">
        <v>1</v>
      </c>
      <c r="F1611">
        <v>9</v>
      </c>
      <c r="G1611">
        <v>12</v>
      </c>
      <c r="H1611" t="s">
        <v>2814</v>
      </c>
      <c r="I161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11" t="s">
        <v>1616</v>
      </c>
      <c r="K1611" t="str">
        <f>RIGHT(Tabla2[[#This Row],[codigo_producto]],LEN(Tabla2[[#This Row],[codigo_producto]])-FIND("/",Tabla2[[#This Row],[codigo_producto]]))</f>
        <v>CD569F2603011200</v>
      </c>
      <c r="L1611" t="str">
        <f>LEFT(Tabla2[[#This Row],[codigo_producto]],FIND("/",Tabla2[[#This Row],[codigo_producto]])-1)</f>
        <v>6</v>
      </c>
      <c r="M161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612" spans="1:13" x14ac:dyDescent="0.25">
      <c r="A1612" t="s">
        <v>4424</v>
      </c>
      <c r="B1612" t="s">
        <v>2275</v>
      </c>
      <c r="C1612" t="s">
        <v>2275</v>
      </c>
      <c r="D1612">
        <v>32</v>
      </c>
      <c r="E1612">
        <v>1</v>
      </c>
      <c r="F1612">
        <v>9</v>
      </c>
      <c r="G1612">
        <v>12</v>
      </c>
      <c r="H1612" t="s">
        <v>2814</v>
      </c>
      <c r="I161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12" t="s">
        <v>1617</v>
      </c>
      <c r="K1612" t="str">
        <f>RIGHT(Tabla2[[#This Row],[codigo_producto]],LEN(Tabla2[[#This Row],[codigo_producto]])-FIND("/",Tabla2[[#This Row],[codigo_producto]]))</f>
        <v>CD569F2603011700</v>
      </c>
      <c r="L1612" t="str">
        <f>LEFT(Tabla2[[#This Row],[codigo_producto]],FIND("/",Tabla2[[#This Row],[codigo_producto]])-1)</f>
        <v>6</v>
      </c>
      <c r="M161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613" spans="1:13" x14ac:dyDescent="0.25">
      <c r="A1613" t="s">
        <v>4425</v>
      </c>
      <c r="B1613" t="s">
        <v>1970</v>
      </c>
      <c r="C1613" t="s">
        <v>1970</v>
      </c>
      <c r="D1613">
        <v>32</v>
      </c>
      <c r="E1613">
        <v>1</v>
      </c>
      <c r="F1613">
        <v>9</v>
      </c>
      <c r="G1613">
        <v>12</v>
      </c>
      <c r="H1613" t="s">
        <v>2814</v>
      </c>
      <c r="I161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13" t="s">
        <v>1618</v>
      </c>
      <c r="K1613" t="str">
        <f>RIGHT(Tabla2[[#This Row],[codigo_producto]],LEN(Tabla2[[#This Row],[codigo_producto]])-FIND("/",Tabla2[[#This Row],[codigo_producto]]))</f>
        <v>CD569F2603030700</v>
      </c>
      <c r="L1613" t="str">
        <f>LEFT(Tabla2[[#This Row],[codigo_producto]],FIND("/",Tabla2[[#This Row],[codigo_producto]])-1)</f>
        <v>6</v>
      </c>
      <c r="M161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614" spans="1:13" x14ac:dyDescent="0.25">
      <c r="A1614" t="s">
        <v>4426</v>
      </c>
      <c r="B1614" t="s">
        <v>1829</v>
      </c>
      <c r="C1614" t="s">
        <v>1829</v>
      </c>
      <c r="D1614">
        <v>32</v>
      </c>
      <c r="E1614">
        <v>1</v>
      </c>
      <c r="F1614">
        <v>9</v>
      </c>
      <c r="G1614">
        <v>12</v>
      </c>
      <c r="H1614" t="s">
        <v>2814</v>
      </c>
      <c r="I161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14" t="s">
        <v>1619</v>
      </c>
      <c r="K1614" t="str">
        <f>RIGHT(Tabla2[[#This Row],[codigo_producto]],LEN(Tabla2[[#This Row],[codigo_producto]])-FIND("/",Tabla2[[#This Row],[codigo_producto]]))</f>
        <v>CD569F2801032700</v>
      </c>
      <c r="L1614" t="str">
        <f>LEFT(Tabla2[[#This Row],[codigo_producto]],FIND("/",Tabla2[[#This Row],[codigo_producto]])-1)</f>
        <v>6</v>
      </c>
      <c r="M161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615" spans="1:13" x14ac:dyDescent="0.25">
      <c r="A1615" t="s">
        <v>4427</v>
      </c>
      <c r="B1615" t="s">
        <v>2783</v>
      </c>
      <c r="C1615" t="s">
        <v>2783</v>
      </c>
      <c r="D1615">
        <v>32</v>
      </c>
      <c r="E1615">
        <v>1</v>
      </c>
      <c r="F1615">
        <v>9</v>
      </c>
      <c r="G1615">
        <v>12</v>
      </c>
      <c r="H1615" t="s">
        <v>2814</v>
      </c>
      <c r="I161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15" t="s">
        <v>1620</v>
      </c>
      <c r="K1615" t="str">
        <f>RIGHT(Tabla2[[#This Row],[codigo_producto]],LEN(Tabla2[[#This Row],[codigo_producto]])-FIND("/",Tabla2[[#This Row],[codigo_producto]]))</f>
        <v>KITSEGCHANGANGVT</v>
      </c>
      <c r="L1615" t="str">
        <f>LEFT(Tabla2[[#This Row],[codigo_producto]],FIND("/",Tabla2[[#This Row],[codigo_producto]])-1)</f>
        <v>6</v>
      </c>
      <c r="M161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616" spans="1:13" x14ac:dyDescent="0.25">
      <c r="A1616" t="s">
        <v>4428</v>
      </c>
      <c r="B1616" t="s">
        <v>2784</v>
      </c>
      <c r="C1616" t="s">
        <v>2784</v>
      </c>
      <c r="D1616">
        <v>32</v>
      </c>
      <c r="E1616">
        <v>1</v>
      </c>
      <c r="F1616">
        <v>9</v>
      </c>
      <c r="G1616">
        <v>12</v>
      </c>
      <c r="H1616" t="s">
        <v>2814</v>
      </c>
      <c r="I161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16" t="s">
        <v>1621</v>
      </c>
      <c r="K1616" t="str">
        <f>RIGHT(Tabla2[[#This Row],[codigo_producto]],LEN(Tabla2[[#This Row],[codigo_producto]])-FIND("/",Tabla2[[#This Row],[codigo_producto]]))</f>
        <v>KITSEGNEWJIMNY5P</v>
      </c>
      <c r="L1616" t="str">
        <f>LEFT(Tabla2[[#This Row],[codigo_producto]],FIND("/",Tabla2[[#This Row],[codigo_producto]])-1)</f>
        <v>6</v>
      </c>
      <c r="M161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617" spans="1:13" x14ac:dyDescent="0.25">
      <c r="A1617" t="s">
        <v>4429</v>
      </c>
      <c r="B1617" t="s">
        <v>1831</v>
      </c>
      <c r="C1617" t="s">
        <v>1831</v>
      </c>
      <c r="D1617">
        <v>32</v>
      </c>
      <c r="E1617">
        <v>5</v>
      </c>
      <c r="F1617">
        <v>9</v>
      </c>
      <c r="G1617">
        <v>12</v>
      </c>
      <c r="H1617" t="s">
        <v>2814</v>
      </c>
      <c r="I161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17" t="s">
        <v>1622</v>
      </c>
      <c r="K1617" t="str">
        <f>RIGHT(Tabla2[[#This Row],[codigo_producto]],LEN(Tabla2[[#This Row],[codigo_producto]])-FIND("/",Tabla2[[#This Row],[codigo_producto]]))</f>
        <v>3500310U2230-F01</v>
      </c>
      <c r="L1617" t="str">
        <f>LEFT(Tabla2[[#This Row],[codigo_producto]],FIND("/",Tabla2[[#This Row],[codigo_producto]])-1)</f>
        <v>7</v>
      </c>
      <c r="M161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618" spans="1:13" x14ac:dyDescent="0.25">
      <c r="A1618" t="s">
        <v>4430</v>
      </c>
      <c r="B1618" t="s">
        <v>1837</v>
      </c>
      <c r="C1618" t="s">
        <v>1837</v>
      </c>
      <c r="D1618">
        <v>32</v>
      </c>
      <c r="E1618">
        <v>5</v>
      </c>
      <c r="F1618">
        <v>9</v>
      </c>
      <c r="G1618">
        <v>12</v>
      </c>
      <c r="H1618" t="s">
        <v>2814</v>
      </c>
      <c r="I161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18" t="s">
        <v>1623</v>
      </c>
      <c r="K1618" t="str">
        <f>RIGHT(Tabla2[[#This Row],[codigo_producto]],LEN(Tabla2[[#This Row],[codigo_producto]])-FIND("/",Tabla2[[#This Row],[codigo_producto]]))</f>
        <v>3500700U2230-F01</v>
      </c>
      <c r="L1618" t="str">
        <f>LEFT(Tabla2[[#This Row],[codigo_producto]],FIND("/",Tabla2[[#This Row],[codigo_producto]])-1)</f>
        <v>7</v>
      </c>
      <c r="M161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619" spans="1:13" x14ac:dyDescent="0.25">
      <c r="A1619" t="s">
        <v>4431</v>
      </c>
      <c r="B1619" t="s">
        <v>1704</v>
      </c>
      <c r="C1619" t="s">
        <v>1704</v>
      </c>
      <c r="D1619">
        <v>32</v>
      </c>
      <c r="E1619">
        <v>5</v>
      </c>
      <c r="F1619">
        <v>9</v>
      </c>
      <c r="G1619">
        <v>12</v>
      </c>
      <c r="H1619" t="s">
        <v>2814</v>
      </c>
      <c r="I161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19" t="s">
        <v>1624</v>
      </c>
      <c r="K1619" t="str">
        <f>RIGHT(Tabla2[[#This Row],[codigo_producto]],LEN(Tabla2[[#This Row],[codigo_producto]])-FIND("/",Tabla2[[#This Row],[codigo_producto]]))</f>
        <v>3501100/200P3010</v>
      </c>
      <c r="L1619" t="str">
        <f>LEFT(Tabla2[[#This Row],[codigo_producto]],FIND("/",Tabla2[[#This Row],[codigo_producto]])-1)</f>
        <v>7</v>
      </c>
      <c r="M161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620" spans="1:13" x14ac:dyDescent="0.25">
      <c r="A1620" t="s">
        <v>4432</v>
      </c>
      <c r="B1620" t="s">
        <v>2651</v>
      </c>
      <c r="C1620" t="s">
        <v>2651</v>
      </c>
      <c r="D1620">
        <v>32</v>
      </c>
      <c r="E1620">
        <v>5</v>
      </c>
      <c r="F1620">
        <v>9</v>
      </c>
      <c r="G1620">
        <v>12</v>
      </c>
      <c r="H1620" t="s">
        <v>2814</v>
      </c>
      <c r="I162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20" t="s">
        <v>1625</v>
      </c>
      <c r="K1620" t="str">
        <f>RIGHT(Tabla2[[#This Row],[codigo_producto]],LEN(Tabla2[[#This Row],[codigo_producto]])-FIND("/",Tabla2[[#This Row],[codigo_producto]]))</f>
        <v>3504300P3031N0CP</v>
      </c>
      <c r="L1620" t="str">
        <f>LEFT(Tabla2[[#This Row],[codigo_producto]],FIND("/",Tabla2[[#This Row],[codigo_producto]])-1)</f>
        <v>7</v>
      </c>
      <c r="M162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621" spans="1:13" x14ac:dyDescent="0.25">
      <c r="A1621" t="s">
        <v>4433</v>
      </c>
      <c r="B1621" t="s">
        <v>2785</v>
      </c>
      <c r="C1621" t="s">
        <v>2785</v>
      </c>
      <c r="D1621">
        <v>32</v>
      </c>
      <c r="E1621">
        <v>5</v>
      </c>
      <c r="F1621">
        <v>9</v>
      </c>
      <c r="G1621">
        <v>12</v>
      </c>
      <c r="H1621" t="s">
        <v>2814</v>
      </c>
      <c r="I162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21" t="s">
        <v>1626</v>
      </c>
      <c r="K1621" t="str">
        <f>RIGHT(Tabla2[[#This Row],[codigo_producto]],LEN(Tabla2[[#This Row],[codigo_producto]])-FIND("/",Tabla2[[#This Row],[codigo_producto]]))</f>
        <v>5522320U2400-R03</v>
      </c>
      <c r="L1621" t="str">
        <f>LEFT(Tabla2[[#This Row],[codigo_producto]],FIND("/",Tabla2[[#This Row],[codigo_producto]])-1)</f>
        <v>7</v>
      </c>
      <c r="M162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622" spans="1:13" x14ac:dyDescent="0.25">
      <c r="A1622" t="s">
        <v>4434</v>
      </c>
      <c r="B1622" t="s">
        <v>2382</v>
      </c>
      <c r="C1622" t="s">
        <v>2382</v>
      </c>
      <c r="D1622">
        <v>32</v>
      </c>
      <c r="E1622">
        <v>5</v>
      </c>
      <c r="F1622">
        <v>9</v>
      </c>
      <c r="G1622">
        <v>12</v>
      </c>
      <c r="H1622" t="s">
        <v>2814</v>
      </c>
      <c r="I162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22" t="s">
        <v>1627</v>
      </c>
      <c r="K1622" t="str">
        <f>RIGHT(Tabla2[[#This Row],[codigo_producto]],LEN(Tabla2[[#This Row],[codigo_producto]])-FIND("/",Tabla2[[#This Row],[codigo_producto]]))</f>
        <v>7911701U344WAOTS</v>
      </c>
      <c r="L1622" t="str">
        <f>LEFT(Tabla2[[#This Row],[codigo_producto]],FIND("/",Tabla2[[#This Row],[codigo_producto]])-1)</f>
        <v>7</v>
      </c>
      <c r="M162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623" spans="1:13" x14ac:dyDescent="0.25">
      <c r="A1623" t="s">
        <v>4435</v>
      </c>
      <c r="B1623" t="s">
        <v>2786</v>
      </c>
      <c r="C1623" t="s">
        <v>2786</v>
      </c>
      <c r="D1623">
        <v>32</v>
      </c>
      <c r="E1623">
        <v>5</v>
      </c>
      <c r="F1623">
        <v>9</v>
      </c>
      <c r="G1623">
        <v>12</v>
      </c>
      <c r="H1623" t="s">
        <v>2814</v>
      </c>
      <c r="I162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23" t="s">
        <v>1628</v>
      </c>
      <c r="K1623" t="str">
        <f>RIGHT(Tabla2[[#This Row],[codigo_producto]],LEN(Tabla2[[#This Row],[codigo_producto]])-FIND("/",Tabla2[[#This Row],[codigo_producto]]))</f>
        <v>S1021L2115300010</v>
      </c>
      <c r="L1623" t="str">
        <f>LEFT(Tabla2[[#This Row],[codigo_producto]],FIND("/",Tabla2[[#This Row],[codigo_producto]])-1)</f>
        <v>7</v>
      </c>
      <c r="M162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624" spans="1:13" x14ac:dyDescent="0.25">
      <c r="A1624" t="s">
        <v>4436</v>
      </c>
      <c r="B1624" t="s">
        <v>2644</v>
      </c>
      <c r="C1624" t="s">
        <v>2644</v>
      </c>
      <c r="D1624">
        <v>32</v>
      </c>
      <c r="E1624">
        <v>8</v>
      </c>
      <c r="F1624">
        <v>9</v>
      </c>
      <c r="G1624">
        <v>12</v>
      </c>
      <c r="H1624" t="s">
        <v>2814</v>
      </c>
      <c r="I162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24" t="s">
        <v>1629</v>
      </c>
      <c r="K1624" t="str">
        <f>RIGHT(Tabla2[[#This Row],[codigo_producto]],LEN(Tabla2[[#This Row],[codigo_producto]])-FIND("/",Tabla2[[#This Row],[codigo_producto]]))</f>
        <v>15410M79F100000-C</v>
      </c>
      <c r="L1624" t="str">
        <f>LEFT(Tabla2[[#This Row],[codigo_producto]],FIND("/",Tabla2[[#This Row],[codigo_producto]])-1)</f>
        <v>1</v>
      </c>
      <c r="M162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625" spans="1:13" x14ac:dyDescent="0.25">
      <c r="A1625" t="s">
        <v>4437</v>
      </c>
      <c r="B1625" t="s">
        <v>2772</v>
      </c>
      <c r="C1625" t="s">
        <v>2772</v>
      </c>
      <c r="D1625">
        <v>22</v>
      </c>
      <c r="E1625">
        <v>8</v>
      </c>
      <c r="F1625">
        <v>9</v>
      </c>
      <c r="G1625">
        <v>12</v>
      </c>
      <c r="H1625" t="s">
        <v>2815</v>
      </c>
      <c r="I162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1625" t="s">
        <v>1630</v>
      </c>
      <c r="K1625" t="str">
        <f>RIGHT(Tabla2[[#This Row],[codigo_producto]],LEN(Tabla2[[#This Row],[codigo_producto]])-FIND("/",Tabla2[[#This Row],[codigo_producto]]))</f>
        <v>KITSEGSUZNWERTIGA</v>
      </c>
      <c r="L1625" t="str">
        <f>LEFT(Tabla2[[#This Row],[codigo_producto]],FIND("/",Tabla2[[#This Row],[codigo_producto]])-1)</f>
        <v>1</v>
      </c>
      <c r="M162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626" spans="1:13" x14ac:dyDescent="0.25">
      <c r="A1626" t="s">
        <v>4427</v>
      </c>
      <c r="B1626" t="s">
        <v>2787</v>
      </c>
      <c r="C1626" t="s">
        <v>2787</v>
      </c>
      <c r="D1626">
        <v>21</v>
      </c>
      <c r="E1626">
        <v>13</v>
      </c>
      <c r="F1626">
        <v>9</v>
      </c>
      <c r="G1626">
        <v>12</v>
      </c>
      <c r="H1626" t="s">
        <v>2820</v>
      </c>
      <c r="I162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21</v>
      </c>
      <c r="J1626" t="s">
        <v>1631</v>
      </c>
      <c r="K1626" t="str">
        <f>RIGHT(Tabla2[[#This Row],[codigo_producto]],LEN(Tabla2[[#This Row],[codigo_producto]])-FIND("/",Tabla2[[#This Row],[codigo_producto]]))</f>
        <v>KITSEGCHANGANGVT</v>
      </c>
      <c r="L1626" t="str">
        <f>LEFT(Tabla2[[#This Row],[codigo_producto]],FIND("/",Tabla2[[#This Row],[codigo_producto]])-1)</f>
        <v>10</v>
      </c>
      <c r="M162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627" spans="1:13" x14ac:dyDescent="0.25">
      <c r="A1627" t="s">
        <v>4438</v>
      </c>
      <c r="B1627" t="s">
        <v>2328</v>
      </c>
      <c r="C1627" t="s">
        <v>2328</v>
      </c>
      <c r="D1627">
        <v>32</v>
      </c>
      <c r="E1627">
        <v>13</v>
      </c>
      <c r="F1627">
        <v>9</v>
      </c>
      <c r="G1627">
        <v>12</v>
      </c>
      <c r="H1627" t="s">
        <v>2814</v>
      </c>
      <c r="I162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27" t="s">
        <v>1632</v>
      </c>
      <c r="K1627" t="str">
        <f>RIGHT(Tabla2[[#This Row],[codigo_producto]],LEN(Tabla2[[#This Row],[codigo_producto]])-FIND("/",Tabla2[[#This Row],[codigo_producto]]))</f>
        <v>KITSEGJOLION-HYB</v>
      </c>
      <c r="L1627" t="str">
        <f>LEFT(Tabla2[[#This Row],[codigo_producto]],FIND("/",Tabla2[[#This Row],[codigo_producto]])-1)</f>
        <v>10</v>
      </c>
      <c r="M162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628" spans="1:13" x14ac:dyDescent="0.25">
      <c r="A1628" t="s">
        <v>4439</v>
      </c>
      <c r="B1628" t="s">
        <v>2707</v>
      </c>
      <c r="C1628" t="s">
        <v>2707</v>
      </c>
      <c r="D1628">
        <v>32</v>
      </c>
      <c r="E1628">
        <v>13</v>
      </c>
      <c r="F1628">
        <v>9</v>
      </c>
      <c r="G1628">
        <v>12</v>
      </c>
      <c r="H1628" t="s">
        <v>2814</v>
      </c>
      <c r="I162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28" t="s">
        <v>1633</v>
      </c>
      <c r="K1628" t="str">
        <f>RIGHT(Tabla2[[#This Row],[codigo_producto]],LEN(Tabla2[[#This Row],[codigo_producto]])-FIND("/",Tabla2[[#This Row],[codigo_producto]]))</f>
        <v>KITSEGNWCS35PLUS</v>
      </c>
      <c r="L1628" t="str">
        <f>LEFT(Tabla2[[#This Row],[codigo_producto]],FIND("/",Tabla2[[#This Row],[codigo_producto]])-1)</f>
        <v>10</v>
      </c>
      <c r="M162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629" spans="1:13" x14ac:dyDescent="0.25">
      <c r="A1629" t="s">
        <v>4440</v>
      </c>
      <c r="B1629" t="s">
        <v>2788</v>
      </c>
      <c r="C1629" t="s">
        <v>2788</v>
      </c>
      <c r="D1629">
        <v>22</v>
      </c>
      <c r="E1629">
        <v>13</v>
      </c>
      <c r="F1629">
        <v>9</v>
      </c>
      <c r="G1629">
        <v>12</v>
      </c>
      <c r="H1629" t="s">
        <v>2815</v>
      </c>
      <c r="I162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1629" t="s">
        <v>1634</v>
      </c>
      <c r="K1629" t="str">
        <f>RIGHT(Tabla2[[#This Row],[codigo_producto]],LEN(Tabla2[[#This Row],[codigo_producto]])-FIND("/",Tabla2[[#This Row],[codigo_producto]]))</f>
        <v>KITSEGSUZNWCELGA</v>
      </c>
      <c r="L1629" t="str">
        <f>LEFT(Tabla2[[#This Row],[codigo_producto]],FIND("/",Tabla2[[#This Row],[codigo_producto]])-1)</f>
        <v>10</v>
      </c>
      <c r="M162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630" spans="1:13" x14ac:dyDescent="0.25">
      <c r="A1630" t="s">
        <v>4441</v>
      </c>
      <c r="B1630" t="s">
        <v>2772</v>
      </c>
      <c r="C1630" t="s">
        <v>2772</v>
      </c>
      <c r="D1630">
        <v>21</v>
      </c>
      <c r="E1630">
        <v>13</v>
      </c>
      <c r="F1630">
        <v>9</v>
      </c>
      <c r="G1630">
        <v>12</v>
      </c>
      <c r="H1630" t="s">
        <v>2820</v>
      </c>
      <c r="I163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21</v>
      </c>
      <c r="J1630" t="s">
        <v>1635</v>
      </c>
      <c r="K1630" t="str">
        <f>RIGHT(Tabla2[[#This Row],[codigo_producto]],LEN(Tabla2[[#This Row],[codigo_producto]])-FIND("/",Tabla2[[#This Row],[codigo_producto]]))</f>
        <v>KITSEGSUZNWJIMNY</v>
      </c>
      <c r="L1630" t="str">
        <f>LEFT(Tabla2[[#This Row],[codigo_producto]],FIND("/",Tabla2[[#This Row],[codigo_producto]])-1)</f>
        <v>10</v>
      </c>
      <c r="M163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631" spans="1:13" x14ac:dyDescent="0.25">
      <c r="A1631" t="s">
        <v>4442</v>
      </c>
      <c r="B1631" t="s">
        <v>2744</v>
      </c>
      <c r="C1631" t="s">
        <v>2744</v>
      </c>
      <c r="D1631">
        <v>22</v>
      </c>
      <c r="E1631">
        <v>6</v>
      </c>
      <c r="F1631">
        <v>9</v>
      </c>
      <c r="G1631">
        <v>12</v>
      </c>
      <c r="H1631" t="s">
        <v>2815</v>
      </c>
      <c r="I163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1631" t="s">
        <v>1636</v>
      </c>
      <c r="K1631" t="str">
        <f>RIGHT(Tabla2[[#This Row],[codigo_producto]],LEN(Tabla2[[#This Row],[codigo_producto]])-FIND("/",Tabla2[[#This Row],[codigo_producto]]))</f>
        <v>KITSEGNEWMAZDA2HB</v>
      </c>
      <c r="L1631" t="str">
        <f>LEFT(Tabla2[[#This Row],[codigo_producto]],FIND("/",Tabla2[[#This Row],[codigo_producto]])-1)</f>
        <v>2</v>
      </c>
      <c r="M163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632" spans="1:13" x14ac:dyDescent="0.25">
      <c r="A1632" t="s">
        <v>4443</v>
      </c>
      <c r="B1632" t="s">
        <v>2789</v>
      </c>
      <c r="C1632" t="s">
        <v>2789</v>
      </c>
      <c r="D1632">
        <v>22</v>
      </c>
      <c r="E1632">
        <v>6</v>
      </c>
      <c r="F1632">
        <v>9</v>
      </c>
      <c r="G1632">
        <v>12</v>
      </c>
      <c r="H1632" t="s">
        <v>2815</v>
      </c>
      <c r="I163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1632" t="s">
        <v>1637</v>
      </c>
      <c r="K1632" t="str">
        <f>RIGHT(Tabla2[[#This Row],[codigo_producto]],LEN(Tabla2[[#This Row],[codigo_producto]])-FIND("/",Tabla2[[#This Row],[codigo_producto]]))</f>
        <v>KITSEGNEWMAZDA3HB</v>
      </c>
      <c r="L1632" t="str">
        <f>LEFT(Tabla2[[#This Row],[codigo_producto]],FIND("/",Tabla2[[#This Row],[codigo_producto]])-1)</f>
        <v>2</v>
      </c>
      <c r="M163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633" spans="1:13" x14ac:dyDescent="0.25">
      <c r="A1633" t="s">
        <v>4444</v>
      </c>
      <c r="B1633" t="s">
        <v>2790</v>
      </c>
      <c r="C1633" t="s">
        <v>2790</v>
      </c>
      <c r="D1633">
        <v>32</v>
      </c>
      <c r="E1633">
        <v>3</v>
      </c>
      <c r="F1633">
        <v>9</v>
      </c>
      <c r="G1633">
        <v>12</v>
      </c>
      <c r="H1633" t="s">
        <v>2814</v>
      </c>
      <c r="I163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33" t="s">
        <v>1638</v>
      </c>
      <c r="K1633" t="str">
        <f>RIGHT(Tabla2[[#This Row],[codigo_producto]],LEN(Tabla2[[#This Row],[codigo_producto]])-FIND("/",Tabla2[[#This Row],[codigo_producto]]))</f>
        <v>PURIFICADORWINGLE</v>
      </c>
      <c r="L1633" t="str">
        <f>LEFT(Tabla2[[#This Row],[codigo_producto]],FIND("/",Tabla2[[#This Row],[codigo_producto]])-1)</f>
        <v>5</v>
      </c>
      <c r="M163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634" spans="1:13" x14ac:dyDescent="0.25">
      <c r="A1634" t="s">
        <v>4445</v>
      </c>
      <c r="B1634" t="s">
        <v>2753</v>
      </c>
      <c r="C1634" t="s">
        <v>2753</v>
      </c>
      <c r="D1634">
        <v>32</v>
      </c>
      <c r="E1634">
        <v>2</v>
      </c>
      <c r="F1634">
        <v>9</v>
      </c>
      <c r="G1634">
        <v>12</v>
      </c>
      <c r="H1634" t="s">
        <v>2814</v>
      </c>
      <c r="I163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34" t="s">
        <v>1639</v>
      </c>
      <c r="K1634" t="str">
        <f>RIGHT(Tabla2[[#This Row],[codigo_producto]],LEN(Tabla2[[#This Row],[codigo_producto]])-FIND("/",Tabla2[[#This Row],[codigo_producto]]))</f>
        <v>KITSECITBERLINGO</v>
      </c>
      <c r="L1634" t="str">
        <f>LEFT(Tabla2[[#This Row],[codigo_producto]],FIND("/",Tabla2[[#This Row],[codigo_producto]])-1)</f>
        <v>59</v>
      </c>
      <c r="M163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1635" spans="1:13" x14ac:dyDescent="0.25">
      <c r="A1635" t="s">
        <v>4446</v>
      </c>
      <c r="B1635" t="s">
        <v>1887</v>
      </c>
      <c r="C1635" t="s">
        <v>1887</v>
      </c>
      <c r="D1635">
        <v>32</v>
      </c>
      <c r="E1635">
        <v>2</v>
      </c>
      <c r="F1635">
        <v>9</v>
      </c>
      <c r="G1635">
        <v>12</v>
      </c>
      <c r="H1635" t="s">
        <v>2814</v>
      </c>
      <c r="I163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35" t="s">
        <v>1640</v>
      </c>
      <c r="K1635" t="str">
        <f>RIGHT(Tabla2[[#This Row],[codigo_producto]],LEN(Tabla2[[#This Row],[codigo_producto]])-FIND("/",Tabla2[[#This Row],[codigo_producto]]))</f>
        <v>KITSEGC3AIRCROSS</v>
      </c>
      <c r="L1635" t="str">
        <f>LEFT(Tabla2[[#This Row],[codigo_producto]],FIND("/",Tabla2[[#This Row],[codigo_producto]])-1)</f>
        <v>59</v>
      </c>
      <c r="M163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1636" spans="1:13" x14ac:dyDescent="0.25">
      <c r="A1636" t="s">
        <v>4447</v>
      </c>
      <c r="B1636" t="s">
        <v>2791</v>
      </c>
      <c r="C1636" t="s">
        <v>2791</v>
      </c>
      <c r="D1636">
        <v>32</v>
      </c>
      <c r="E1636">
        <v>1</v>
      </c>
      <c r="F1636">
        <v>9</v>
      </c>
      <c r="G1636">
        <v>12</v>
      </c>
      <c r="H1636" t="s">
        <v>2814</v>
      </c>
      <c r="I163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36" t="s">
        <v>1641</v>
      </c>
      <c r="K1636" t="str">
        <f>RIGHT(Tabla2[[#This Row],[codigo_producto]],LEN(Tabla2[[#This Row],[codigo_producto]])-FIND("/",Tabla2[[#This Row],[codigo_producto]]))</f>
        <v>B511F2601020300AA</v>
      </c>
      <c r="L1636" t="str">
        <f>LEFT(Tabla2[[#This Row],[codigo_producto]],FIND("/",Tabla2[[#This Row],[codigo_producto]])-1)</f>
        <v>6</v>
      </c>
      <c r="M163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637" spans="1:13" x14ac:dyDescent="0.25">
      <c r="A1637" t="s">
        <v>4448</v>
      </c>
      <c r="B1637" t="s">
        <v>2792</v>
      </c>
      <c r="C1637" t="s">
        <v>2792</v>
      </c>
      <c r="D1637">
        <v>32</v>
      </c>
      <c r="E1637">
        <v>1</v>
      </c>
      <c r="F1637">
        <v>9</v>
      </c>
      <c r="G1637">
        <v>12</v>
      </c>
      <c r="H1637" t="s">
        <v>2814</v>
      </c>
      <c r="I163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37" t="s">
        <v>1642</v>
      </c>
      <c r="K1637" t="str">
        <f>RIGHT(Tabla2[[#This Row],[codigo_producto]],LEN(Tabla2[[#This Row],[codigo_producto]])-FIND("/",Tabla2[[#This Row],[codigo_producto]]))</f>
        <v>DPKITFILTROHUNTER</v>
      </c>
      <c r="L1637" t="str">
        <f>LEFT(Tabla2[[#This Row],[codigo_producto]],FIND("/",Tabla2[[#This Row],[codigo_producto]])-1)</f>
        <v>6</v>
      </c>
      <c r="M163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638" spans="1:13" x14ac:dyDescent="0.25">
      <c r="A1638" t="s">
        <v>4449</v>
      </c>
      <c r="B1638" t="s">
        <v>2793</v>
      </c>
      <c r="C1638" t="s">
        <v>2793</v>
      </c>
      <c r="D1638">
        <v>32</v>
      </c>
      <c r="E1638">
        <v>1</v>
      </c>
      <c r="F1638">
        <v>9</v>
      </c>
      <c r="G1638">
        <v>12</v>
      </c>
      <c r="H1638" t="s">
        <v>2814</v>
      </c>
      <c r="I163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38" t="s">
        <v>1643</v>
      </c>
      <c r="K1638" t="str">
        <f>RIGHT(Tabla2[[#This Row],[codigo_producto]],LEN(Tabla2[[#This Row],[codigo_producto]])-FIND("/",Tabla2[[#This Row],[codigo_producto]]))</f>
        <v>S111F2807020300AA</v>
      </c>
      <c r="L1638" t="str">
        <f>LEFT(Tabla2[[#This Row],[codigo_producto]],FIND("/",Tabla2[[#This Row],[codigo_producto]])-1)</f>
        <v>6</v>
      </c>
      <c r="M163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639" spans="1:13" x14ac:dyDescent="0.25">
      <c r="A1639" t="s">
        <v>4450</v>
      </c>
      <c r="B1639" t="s">
        <v>2619</v>
      </c>
      <c r="C1639" t="s">
        <v>2619</v>
      </c>
      <c r="D1639">
        <v>32</v>
      </c>
      <c r="E1639">
        <v>1</v>
      </c>
      <c r="F1639">
        <v>9</v>
      </c>
      <c r="G1639">
        <v>12</v>
      </c>
      <c r="H1639" t="s">
        <v>2814</v>
      </c>
      <c r="I163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39" t="s">
        <v>1644</v>
      </c>
      <c r="K1639" t="str">
        <f>RIGHT(Tabla2[[#This Row],[codigo_producto]],LEN(Tabla2[[#This Row],[codigo_producto]])-FIND("/",Tabla2[[#This Row],[codigo_producto]]))</f>
        <v>S203F2807050100AA</v>
      </c>
      <c r="L1639" t="str">
        <f>LEFT(Tabla2[[#This Row],[codigo_producto]],FIND("/",Tabla2[[#This Row],[codigo_producto]])-1)</f>
        <v>6</v>
      </c>
      <c r="M163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640" spans="1:13" x14ac:dyDescent="0.25">
      <c r="A1640" t="s">
        <v>4451</v>
      </c>
      <c r="B1640" t="s">
        <v>2794</v>
      </c>
      <c r="C1640" t="s">
        <v>2794</v>
      </c>
      <c r="D1640">
        <v>32</v>
      </c>
      <c r="E1640">
        <v>5</v>
      </c>
      <c r="F1640">
        <v>9</v>
      </c>
      <c r="G1640">
        <v>12</v>
      </c>
      <c r="H1640" t="s">
        <v>2814</v>
      </c>
      <c r="I164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40" t="s">
        <v>1645</v>
      </c>
      <c r="K1640" t="str">
        <f>RIGHT(Tabla2[[#This Row],[codigo_producto]],LEN(Tabla2[[#This Row],[codigo_producto]])-FIND("/",Tabla2[[#This Row],[codigo_producto]]))</f>
        <v>2200001R0070-F021</v>
      </c>
      <c r="L1640" t="str">
        <f>LEFT(Tabla2[[#This Row],[codigo_producto]],FIND("/",Tabla2[[#This Row],[codigo_producto]])-1)</f>
        <v>7</v>
      </c>
      <c r="M164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641" spans="1:13" x14ac:dyDescent="0.25">
      <c r="A1641" t="s">
        <v>4452</v>
      </c>
      <c r="B1641" t="s">
        <v>2795</v>
      </c>
      <c r="C1641" t="s">
        <v>2795</v>
      </c>
      <c r="D1641">
        <v>32</v>
      </c>
      <c r="E1641">
        <v>5</v>
      </c>
      <c r="F1641">
        <v>9</v>
      </c>
      <c r="G1641">
        <v>12</v>
      </c>
      <c r="H1641" t="s">
        <v>2814</v>
      </c>
      <c r="I164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41" t="s">
        <v>1646</v>
      </c>
      <c r="K1641" t="str">
        <f>RIGHT(Tabla2[[#This Row],[codigo_producto]],LEN(Tabla2[[#This Row],[codigo_producto]])-FIND("/",Tabla2[[#This Row],[codigo_producto]]))</f>
        <v>3500310U3400-F011</v>
      </c>
      <c r="L1641" t="str">
        <f>LEFT(Tabla2[[#This Row],[codigo_producto]],FIND("/",Tabla2[[#This Row],[codigo_producto]])-1)</f>
        <v>7</v>
      </c>
      <c r="M164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642" spans="1:13" x14ac:dyDescent="0.25">
      <c r="A1642" t="s">
        <v>4453</v>
      </c>
      <c r="B1642" t="s">
        <v>2757</v>
      </c>
      <c r="C1642" t="s">
        <v>2757</v>
      </c>
      <c r="D1642">
        <v>32</v>
      </c>
      <c r="E1642">
        <v>5</v>
      </c>
      <c r="F1642">
        <v>9</v>
      </c>
      <c r="G1642">
        <v>12</v>
      </c>
      <c r="H1642" t="s">
        <v>2814</v>
      </c>
      <c r="I164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42" t="s">
        <v>1647</v>
      </c>
      <c r="K1642" t="str">
        <f>RIGHT(Tabla2[[#This Row],[codigo_producto]],LEN(Tabla2[[#This Row],[codigo_producto]])-FIND("/",Tabla2[[#This Row],[codigo_producto]]))</f>
        <v>3500700U3400-F031</v>
      </c>
      <c r="L1642" t="str">
        <f>LEFT(Tabla2[[#This Row],[codigo_producto]],FIND("/",Tabla2[[#This Row],[codigo_producto]])-1)</f>
        <v>7</v>
      </c>
      <c r="M164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643" spans="1:13" x14ac:dyDescent="0.25">
      <c r="A1643" t="s">
        <v>4454</v>
      </c>
      <c r="B1643" t="s">
        <v>1831</v>
      </c>
      <c r="C1643" t="s">
        <v>1831</v>
      </c>
      <c r="D1643">
        <v>32</v>
      </c>
      <c r="E1643">
        <v>5</v>
      </c>
      <c r="F1643">
        <v>9</v>
      </c>
      <c r="G1643">
        <v>12</v>
      </c>
      <c r="H1643" t="s">
        <v>2814</v>
      </c>
      <c r="I164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43" t="s">
        <v>1648</v>
      </c>
      <c r="K1643" t="str">
        <f>RIGHT(Tabla2[[#This Row],[codigo_producto]],LEN(Tabla2[[#This Row],[codigo_producto]])-FIND("/",Tabla2[[#This Row],[codigo_producto]]))</f>
        <v>3503100S5500-F031</v>
      </c>
      <c r="L1643" t="str">
        <f>LEFT(Tabla2[[#This Row],[codigo_producto]],FIND("/",Tabla2[[#This Row],[codigo_producto]])-1)</f>
        <v>7</v>
      </c>
      <c r="M164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644" spans="1:13" x14ac:dyDescent="0.25">
      <c r="A1644" t="s">
        <v>4455</v>
      </c>
      <c r="B1644" t="s">
        <v>2533</v>
      </c>
      <c r="C1644" t="s">
        <v>2533</v>
      </c>
      <c r="D1644">
        <v>32</v>
      </c>
      <c r="E1644">
        <v>5</v>
      </c>
      <c r="F1644">
        <v>9</v>
      </c>
      <c r="G1644">
        <v>12</v>
      </c>
      <c r="H1644" t="s">
        <v>2814</v>
      </c>
      <c r="I164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44" t="s">
        <v>1649</v>
      </c>
      <c r="K1644" t="str">
        <f>RIGHT(Tabla2[[#This Row],[codigo_producto]],LEN(Tabla2[[#This Row],[codigo_producto]])-FIND("/",Tabla2[[#This Row],[codigo_producto]]))</f>
        <v>3503100V6500-F011</v>
      </c>
      <c r="L1644" t="str">
        <f>LEFT(Tabla2[[#This Row],[codigo_producto]],FIND("/",Tabla2[[#This Row],[codigo_producto]])-1)</f>
        <v>7</v>
      </c>
      <c r="M164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645" spans="1:13" x14ac:dyDescent="0.25">
      <c r="A1645" t="s">
        <v>4456</v>
      </c>
      <c r="B1645" t="s">
        <v>2533</v>
      </c>
      <c r="C1645" t="s">
        <v>2533</v>
      </c>
      <c r="D1645">
        <v>32</v>
      </c>
      <c r="E1645">
        <v>5</v>
      </c>
      <c r="F1645">
        <v>9</v>
      </c>
      <c r="G1645">
        <v>12</v>
      </c>
      <c r="H1645" t="s">
        <v>2814</v>
      </c>
      <c r="I164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45" t="s">
        <v>1650</v>
      </c>
      <c r="K1645" t="str">
        <f>RIGHT(Tabla2[[#This Row],[codigo_producto]],LEN(Tabla2[[#This Row],[codigo_producto]])-FIND("/",Tabla2[[#This Row],[codigo_producto]]))</f>
        <v>3503100V6510-F011</v>
      </c>
      <c r="L1645" t="str">
        <f>LEFT(Tabla2[[#This Row],[codigo_producto]],FIND("/",Tabla2[[#This Row],[codigo_producto]])-1)</f>
        <v>7</v>
      </c>
      <c r="M164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646" spans="1:13" x14ac:dyDescent="0.25">
      <c r="A1646" t="s">
        <v>4457</v>
      </c>
      <c r="B1646" t="s">
        <v>1837</v>
      </c>
      <c r="C1646" t="s">
        <v>1837</v>
      </c>
      <c r="D1646">
        <v>32</v>
      </c>
      <c r="E1646">
        <v>5</v>
      </c>
      <c r="F1646">
        <v>9</v>
      </c>
      <c r="G1646">
        <v>12</v>
      </c>
      <c r="H1646" t="s">
        <v>2814</v>
      </c>
      <c r="I164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46" t="s">
        <v>1651</v>
      </c>
      <c r="K1646" t="str">
        <f>RIGHT(Tabla2[[#This Row],[codigo_producto]],LEN(Tabla2[[#This Row],[codigo_producto]])-FIND("/",Tabla2[[#This Row],[codigo_producto]]))</f>
        <v>3504100S5500-F031</v>
      </c>
      <c r="L1646" t="str">
        <f>LEFT(Tabla2[[#This Row],[codigo_producto]],FIND("/",Tabla2[[#This Row],[codigo_producto]])-1)</f>
        <v>7</v>
      </c>
      <c r="M164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647" spans="1:13" x14ac:dyDescent="0.25">
      <c r="A1647" t="s">
        <v>4458</v>
      </c>
      <c r="B1647" t="s">
        <v>2796</v>
      </c>
      <c r="C1647" t="s">
        <v>2796</v>
      </c>
      <c r="D1647">
        <v>32</v>
      </c>
      <c r="E1647">
        <v>5</v>
      </c>
      <c r="F1647">
        <v>9</v>
      </c>
      <c r="G1647">
        <v>12</v>
      </c>
      <c r="H1647" t="s">
        <v>2814</v>
      </c>
      <c r="I164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47" t="s">
        <v>1652</v>
      </c>
      <c r="K1647" t="str">
        <f>RIGHT(Tabla2[[#This Row],[codigo_producto]],LEN(Tabla2[[#This Row],[codigo_producto]])-FIND("/",Tabla2[[#This Row],[codigo_producto]]))</f>
        <v>3504100V6510-F011</v>
      </c>
      <c r="L1647" t="str">
        <f>LEFT(Tabla2[[#This Row],[codigo_producto]],FIND("/",Tabla2[[#This Row],[codigo_producto]])-1)</f>
        <v>7</v>
      </c>
      <c r="M164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648" spans="1:13" x14ac:dyDescent="0.25">
      <c r="A1648" t="s">
        <v>4459</v>
      </c>
      <c r="B1648" t="s">
        <v>2797</v>
      </c>
      <c r="C1648" t="s">
        <v>2797</v>
      </c>
      <c r="D1648">
        <v>32</v>
      </c>
      <c r="E1648">
        <v>5</v>
      </c>
      <c r="F1648">
        <v>9</v>
      </c>
      <c r="G1648">
        <v>12</v>
      </c>
      <c r="H1648" t="s">
        <v>2814</v>
      </c>
      <c r="I164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48" t="s">
        <v>1653</v>
      </c>
      <c r="K1648" t="str">
        <f>RIGHT(Tabla2[[#This Row],[codigo_producto]],LEN(Tabla2[[#This Row],[codigo_producto]])-FIND("/",Tabla2[[#This Row],[codigo_producto]]))</f>
        <v>3704020U2260-F001</v>
      </c>
      <c r="L1648" t="str">
        <f>LEFT(Tabla2[[#This Row],[codigo_producto]],FIND("/",Tabla2[[#This Row],[codigo_producto]])-1)</f>
        <v>7</v>
      </c>
      <c r="M164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649" spans="1:13" x14ac:dyDescent="0.25">
      <c r="A1649" t="s">
        <v>4460</v>
      </c>
      <c r="B1649" t="s">
        <v>2798</v>
      </c>
      <c r="C1649" t="s">
        <v>2798</v>
      </c>
      <c r="D1649">
        <v>32</v>
      </c>
      <c r="E1649">
        <v>5</v>
      </c>
      <c r="F1649">
        <v>9</v>
      </c>
      <c r="G1649">
        <v>12</v>
      </c>
      <c r="H1649" t="s">
        <v>2814</v>
      </c>
      <c r="I164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49" t="s">
        <v>1654</v>
      </c>
      <c r="K1649" t="str">
        <f>RIGHT(Tabla2[[#This Row],[codigo_producto]],LEN(Tabla2[[#This Row],[codigo_producto]])-FIND("/",Tabla2[[#This Row],[codigo_producto]]))</f>
        <v>3704020V9020-F012</v>
      </c>
      <c r="L1649" t="str">
        <f>LEFT(Tabla2[[#This Row],[codigo_producto]],FIND("/",Tabla2[[#This Row],[codigo_producto]])-1)</f>
        <v>7</v>
      </c>
      <c r="M164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650" spans="1:13" x14ac:dyDescent="0.25">
      <c r="A1650" t="s">
        <v>4461</v>
      </c>
      <c r="B1650" t="s">
        <v>1829</v>
      </c>
      <c r="C1650" t="s">
        <v>1829</v>
      </c>
      <c r="D1650">
        <v>32</v>
      </c>
      <c r="E1650">
        <v>5</v>
      </c>
      <c r="F1650">
        <v>9</v>
      </c>
      <c r="G1650">
        <v>12</v>
      </c>
      <c r="H1650" t="s">
        <v>2814</v>
      </c>
      <c r="I165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50" t="s">
        <v>1655</v>
      </c>
      <c r="K1650" t="str">
        <f>RIGHT(Tabla2[[#This Row],[codigo_producto]],LEN(Tabla2[[#This Row],[codigo_producto]])-FIND("/",Tabla2[[#This Row],[codigo_producto]]))</f>
        <v>8101100U2400-F011</v>
      </c>
      <c r="L1650" t="str">
        <f>LEFT(Tabla2[[#This Row],[codigo_producto]],FIND("/",Tabla2[[#This Row],[codigo_producto]])-1)</f>
        <v>7</v>
      </c>
      <c r="M165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651" spans="1:13" x14ac:dyDescent="0.25">
      <c r="A1651" t="s">
        <v>4462</v>
      </c>
      <c r="B1651" t="s">
        <v>2799</v>
      </c>
      <c r="C1651" t="s">
        <v>2799</v>
      </c>
      <c r="D1651">
        <v>32</v>
      </c>
      <c r="E1651">
        <v>5</v>
      </c>
      <c r="F1651">
        <v>9</v>
      </c>
      <c r="G1651">
        <v>12</v>
      </c>
      <c r="H1651" t="s">
        <v>2814</v>
      </c>
      <c r="I165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51" t="s">
        <v>1656</v>
      </c>
      <c r="K1651" t="str">
        <f>RIGHT(Tabla2[[#This Row],[codigo_producto]],LEN(Tabla2[[#This Row],[codigo_producto]])-FIND("/",Tabla2[[#This Row],[codigo_producto]]))</f>
        <v>8126100R0090-F051</v>
      </c>
      <c r="L1651" t="str">
        <f>LEFT(Tabla2[[#This Row],[codigo_producto]],FIND("/",Tabla2[[#This Row],[codigo_producto]])-1)</f>
        <v>7</v>
      </c>
      <c r="M165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652" spans="1:13" x14ac:dyDescent="0.25">
      <c r="A1652" t="s">
        <v>4463</v>
      </c>
      <c r="B1652" t="s">
        <v>1829</v>
      </c>
      <c r="C1652" t="s">
        <v>1829</v>
      </c>
      <c r="D1652">
        <v>32</v>
      </c>
      <c r="E1652">
        <v>5</v>
      </c>
      <c r="F1652">
        <v>9</v>
      </c>
      <c r="G1652">
        <v>12</v>
      </c>
      <c r="H1652" t="s">
        <v>2814</v>
      </c>
      <c r="I165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52" t="s">
        <v>1657</v>
      </c>
      <c r="K1652" t="str">
        <f>RIGHT(Tabla2[[#This Row],[codigo_producto]],LEN(Tabla2[[#This Row],[codigo_producto]])-FIND("/",Tabla2[[#This Row],[codigo_producto]]))</f>
        <v>8126100U1910-F011</v>
      </c>
      <c r="L1652" t="str">
        <f>LEFT(Tabla2[[#This Row],[codigo_producto]],FIND("/",Tabla2[[#This Row],[codigo_producto]])-1)</f>
        <v>7</v>
      </c>
      <c r="M165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653" spans="1:13" x14ac:dyDescent="0.25">
      <c r="A1653" t="s">
        <v>4464</v>
      </c>
      <c r="B1653" t="s">
        <v>2800</v>
      </c>
      <c r="C1653" t="s">
        <v>2800</v>
      </c>
      <c r="D1653">
        <v>32</v>
      </c>
      <c r="E1653">
        <v>5</v>
      </c>
      <c r="F1653">
        <v>9</v>
      </c>
      <c r="G1653">
        <v>12</v>
      </c>
      <c r="H1653" t="s">
        <v>2814</v>
      </c>
      <c r="I165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53" t="s">
        <v>1658</v>
      </c>
      <c r="K1653" t="str">
        <f>RIGHT(Tabla2[[#This Row],[codigo_producto]],LEN(Tabla2[[#This Row],[codigo_producto]])-FIND("/",Tabla2[[#This Row],[codigo_producto]]))</f>
        <v>S1005L21153-00004</v>
      </c>
      <c r="L1653" t="str">
        <f>LEFT(Tabla2[[#This Row],[codigo_producto]],FIND("/",Tabla2[[#This Row],[codigo_producto]])-1)</f>
        <v>7</v>
      </c>
      <c r="M165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654" spans="1:13" x14ac:dyDescent="0.25">
      <c r="A1654" t="s">
        <v>4465</v>
      </c>
      <c r="B1654" t="s">
        <v>2801</v>
      </c>
      <c r="C1654" t="s">
        <v>2801</v>
      </c>
      <c r="D1654">
        <v>32</v>
      </c>
      <c r="E1654">
        <v>5</v>
      </c>
      <c r="F1654">
        <v>9</v>
      </c>
      <c r="G1654">
        <v>12</v>
      </c>
      <c r="H1654" t="s">
        <v>2814</v>
      </c>
      <c r="I165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54" t="s">
        <v>1659</v>
      </c>
      <c r="K1654" t="str">
        <f>RIGHT(Tabla2[[#This Row],[codigo_producto]],LEN(Tabla2[[#This Row],[codigo_producto]])-FIND("/",Tabla2[[#This Row],[codigo_producto]]))</f>
        <v>ZMTC18A1803020CAN</v>
      </c>
      <c r="L1654" t="str">
        <f>LEFT(Tabla2[[#This Row],[codigo_producto]],FIND("/",Tabla2[[#This Row],[codigo_producto]])-1)</f>
        <v>7</v>
      </c>
      <c r="M165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655" spans="1:13" x14ac:dyDescent="0.25">
      <c r="A1655" t="s">
        <v>4466</v>
      </c>
      <c r="B1655" t="s">
        <v>2802</v>
      </c>
      <c r="C1655" t="s">
        <v>2802</v>
      </c>
      <c r="D1655">
        <v>25</v>
      </c>
      <c r="E1655">
        <v>13</v>
      </c>
      <c r="F1655">
        <v>9</v>
      </c>
      <c r="G1655">
        <v>12</v>
      </c>
      <c r="H1655" t="s">
        <v>2816</v>
      </c>
      <c r="I165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1655" t="s">
        <v>1660</v>
      </c>
      <c r="K1655" t="str">
        <f>RIGHT(Tabla2[[#This Row],[codigo_producto]],LEN(Tabla2[[#This Row],[codigo_producto]])-FIND("/",Tabla2[[#This Row],[codigo_producto]]))</f>
        <v>AGPML15W50CI4208L</v>
      </c>
      <c r="L1655" t="str">
        <f>LEFT(Tabla2[[#This Row],[codigo_producto]],FIND("/",Tabla2[[#This Row],[codigo_producto]])-1)</f>
        <v>10</v>
      </c>
      <c r="M165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656" spans="1:13" x14ac:dyDescent="0.25">
      <c r="A1656" t="s">
        <v>4467</v>
      </c>
      <c r="B1656" t="s">
        <v>2803</v>
      </c>
      <c r="C1656" t="s">
        <v>2803</v>
      </c>
      <c r="D1656">
        <v>32</v>
      </c>
      <c r="E1656">
        <v>1</v>
      </c>
      <c r="F1656">
        <v>9</v>
      </c>
      <c r="G1656">
        <v>12</v>
      </c>
      <c r="H1656" t="s">
        <v>2814</v>
      </c>
      <c r="I165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56" t="s">
        <v>1661</v>
      </c>
      <c r="K1656" t="str">
        <f>RIGHT(Tabla2[[#This Row],[codigo_producto]],LEN(Tabla2[[#This Row],[codigo_producto]])-FIND("/",Tabla2[[#This Row],[codigo_producto]]))</f>
        <v>S2010400100CN01OTS</v>
      </c>
      <c r="L1656" t="str">
        <f>LEFT(Tabla2[[#This Row],[codigo_producto]],FIND("/",Tabla2[[#This Row],[codigo_producto]])-1)</f>
        <v>6</v>
      </c>
      <c r="M165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657" spans="1:13" x14ac:dyDescent="0.25">
      <c r="A1657" t="s">
        <v>4468</v>
      </c>
      <c r="B1657" t="s">
        <v>2804</v>
      </c>
      <c r="C1657" t="s">
        <v>2804</v>
      </c>
      <c r="D1657">
        <v>32</v>
      </c>
      <c r="E1657">
        <v>5</v>
      </c>
      <c r="F1657">
        <v>9</v>
      </c>
      <c r="G1657">
        <v>12</v>
      </c>
      <c r="H1657" t="s">
        <v>2814</v>
      </c>
      <c r="I165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57" t="s">
        <v>1662</v>
      </c>
      <c r="K1657" t="str">
        <f>RIGHT(Tabla2[[#This Row],[codigo_producto]],LEN(Tabla2[[#This Row],[codigo_producto]])-FIND("/",Tabla2[[#This Row],[codigo_producto]]))</f>
        <v>YF3501N23203013023</v>
      </c>
      <c r="L1657" t="str">
        <f>LEFT(Tabla2[[#This Row],[codigo_producto]],FIND("/",Tabla2[[#This Row],[codigo_producto]])-1)</f>
        <v>7</v>
      </c>
      <c r="M1657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658" spans="1:13" x14ac:dyDescent="0.25">
      <c r="A1658" t="s">
        <v>4469</v>
      </c>
      <c r="B1658" t="s">
        <v>2805</v>
      </c>
      <c r="C1658" t="s">
        <v>2805</v>
      </c>
      <c r="D1658">
        <v>32</v>
      </c>
      <c r="E1658">
        <v>13</v>
      </c>
      <c r="F1658">
        <v>9</v>
      </c>
      <c r="G1658">
        <v>12</v>
      </c>
      <c r="H1658" t="s">
        <v>2814</v>
      </c>
      <c r="I165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58" t="s">
        <v>1663</v>
      </c>
      <c r="K1658" t="str">
        <f>RIGHT(Tabla2[[#This Row],[codigo_producto]],LEN(Tabla2[[#This Row],[codigo_producto]])-FIND("/",Tabla2[[#This Row],[codigo_producto]]))</f>
        <v>AGPLUBML15W40CI4CC</v>
      </c>
      <c r="L1658" t="str">
        <f>LEFT(Tabla2[[#This Row],[codigo_producto]],FIND("/",Tabla2[[#This Row],[codigo_producto]])-1)</f>
        <v>10</v>
      </c>
      <c r="M1658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659" spans="1:13" x14ac:dyDescent="0.25">
      <c r="A1659" t="s">
        <v>4470</v>
      </c>
      <c r="B1659" t="s">
        <v>2806</v>
      </c>
      <c r="C1659" t="s">
        <v>2806</v>
      </c>
      <c r="D1659">
        <v>32</v>
      </c>
      <c r="E1659">
        <v>13</v>
      </c>
      <c r="F1659">
        <v>9</v>
      </c>
      <c r="G1659">
        <v>12</v>
      </c>
      <c r="H1659" t="s">
        <v>2814</v>
      </c>
      <c r="I165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59" t="s">
        <v>1664</v>
      </c>
      <c r="K1659" t="str">
        <f>RIGHT(Tabla2[[#This Row],[codigo_producto]],LEN(Tabla2[[#This Row],[codigo_producto]])-FIND("/",Tabla2[[#This Row],[codigo_producto]]))</f>
        <v>AGPLUBML15W40CI4CL</v>
      </c>
      <c r="L1659" t="str">
        <f>LEFT(Tabla2[[#This Row],[codigo_producto]],FIND("/",Tabla2[[#This Row],[codigo_producto]])-1)</f>
        <v>10</v>
      </c>
      <c r="M1659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660" spans="1:13" x14ac:dyDescent="0.25">
      <c r="A1660" t="s">
        <v>4471</v>
      </c>
      <c r="B1660" t="s">
        <v>2807</v>
      </c>
      <c r="C1660" t="s">
        <v>2807</v>
      </c>
      <c r="D1660">
        <v>22</v>
      </c>
      <c r="E1660">
        <v>13</v>
      </c>
      <c r="F1660">
        <v>9</v>
      </c>
      <c r="G1660">
        <v>12</v>
      </c>
      <c r="H1660" t="s">
        <v>2815</v>
      </c>
      <c r="I166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1660" t="s">
        <v>1665</v>
      </c>
      <c r="K1660" t="str">
        <f>RIGHT(Tabla2[[#This Row],[codigo_producto]],LEN(Tabla2[[#This Row],[codigo_producto]])-FIND("/",Tabla2[[#This Row],[codigo_producto]]))</f>
        <v>KITSEGSUZNWCELERIO</v>
      </c>
      <c r="L1660" t="str">
        <f>LEFT(Tabla2[[#This Row],[codigo_producto]],FIND("/",Tabla2[[#This Row],[codigo_producto]])-1)</f>
        <v>10</v>
      </c>
      <c r="M1660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661" spans="1:13" x14ac:dyDescent="0.25">
      <c r="A1661" t="s">
        <v>4472</v>
      </c>
      <c r="B1661" t="s">
        <v>2769</v>
      </c>
      <c r="C1661" t="s">
        <v>2769</v>
      </c>
      <c r="D1661">
        <v>32</v>
      </c>
      <c r="E1661">
        <v>13</v>
      </c>
      <c r="F1661">
        <v>9</v>
      </c>
      <c r="G1661">
        <v>12</v>
      </c>
      <c r="H1661" t="s">
        <v>2814</v>
      </c>
      <c r="I166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61" t="s">
        <v>1666</v>
      </c>
      <c r="K1661" t="str">
        <f>RIGHT(Tabla2[[#This Row],[codigo_producto]],LEN(Tabla2[[#This Row],[codigo_producto]])-FIND("/",Tabla2[[#This Row],[codigo_producto]]))</f>
        <v>KITSEGSUZSPRESSOGL</v>
      </c>
      <c r="L1661" t="str">
        <f>LEFT(Tabla2[[#This Row],[codigo_producto]],FIND("/",Tabla2[[#This Row],[codigo_producto]])-1)</f>
        <v>10</v>
      </c>
      <c r="M1661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662" spans="1:13" x14ac:dyDescent="0.25">
      <c r="A1662" t="s">
        <v>4473</v>
      </c>
      <c r="B1662" t="s">
        <v>2808</v>
      </c>
      <c r="C1662" t="s">
        <v>2808</v>
      </c>
      <c r="D1662">
        <v>31</v>
      </c>
      <c r="E1662">
        <v>9</v>
      </c>
      <c r="F1662">
        <v>9</v>
      </c>
      <c r="G1662">
        <v>12</v>
      </c>
      <c r="H1662" t="s">
        <v>2818</v>
      </c>
      <c r="I166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662" t="s">
        <v>1667</v>
      </c>
      <c r="K1662" t="str">
        <f>RIGHT(Tabla2[[#This Row],[codigo_producto]],LEN(Tabla2[[#This Row],[codigo_producto]])-FIND("/",Tabla2[[#This Row],[codigo_producto]]))</f>
        <v>L1300061102B1-3420</v>
      </c>
      <c r="L1662" t="str">
        <f>LEFT(Tabla2[[#This Row],[codigo_producto]],FIND("/",Tabla2[[#This Row],[codigo_producto]])-1)</f>
        <v>11</v>
      </c>
      <c r="M166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9</v>
      </c>
    </row>
    <row r="1663" spans="1:13" x14ac:dyDescent="0.25">
      <c r="A1663" t="s">
        <v>4474</v>
      </c>
      <c r="B1663" t="s">
        <v>1887</v>
      </c>
      <c r="C1663" t="s">
        <v>1887</v>
      </c>
      <c r="D1663">
        <v>32</v>
      </c>
      <c r="E1663">
        <v>2</v>
      </c>
      <c r="F1663">
        <v>9</v>
      </c>
      <c r="G1663">
        <v>12</v>
      </c>
      <c r="H1663" t="s">
        <v>2814</v>
      </c>
      <c r="I166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63" t="s">
        <v>1668</v>
      </c>
      <c r="K1663" t="str">
        <f>RIGHT(Tabla2[[#This Row],[codigo_producto]],LEN(Tabla2[[#This Row],[codigo_producto]])-FIND("/",Tabla2[[#This Row],[codigo_producto]]))</f>
        <v>KITSEGCITROENNEWC3</v>
      </c>
      <c r="L1663" t="str">
        <f>LEFT(Tabla2[[#This Row],[codigo_producto]],FIND("/",Tabla2[[#This Row],[codigo_producto]])-1)</f>
        <v>59</v>
      </c>
      <c r="M1663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1664" spans="1:13" x14ac:dyDescent="0.25">
      <c r="A1664" t="s">
        <v>4475</v>
      </c>
      <c r="B1664" t="s">
        <v>2809</v>
      </c>
      <c r="C1664" t="s">
        <v>2809</v>
      </c>
      <c r="D1664">
        <v>32</v>
      </c>
      <c r="E1664">
        <v>13</v>
      </c>
      <c r="F1664">
        <v>9</v>
      </c>
      <c r="G1664">
        <v>12</v>
      </c>
      <c r="H1664" t="s">
        <v>2814</v>
      </c>
      <c r="I166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64" t="s">
        <v>1669</v>
      </c>
      <c r="K1664" t="str">
        <f>RIGHT(Tabla2[[#This Row],[codigo_producto]],LEN(Tabla2[[#This Row],[codigo_producto]])-FIND("/",Tabla2[[#This Row],[codigo_producto]]))</f>
        <v>SILICO250TERMORESIST</v>
      </c>
      <c r="L1664" t="str">
        <f>LEFT(Tabla2[[#This Row],[codigo_producto]],FIND("/",Tabla2[[#This Row],[codigo_producto]])-1)</f>
        <v>10</v>
      </c>
      <c r="M1664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665" spans="1:13" x14ac:dyDescent="0.25">
      <c r="A1665" t="s">
        <v>4476</v>
      </c>
      <c r="B1665" t="s">
        <v>2810</v>
      </c>
      <c r="C1665" t="s">
        <v>2810</v>
      </c>
      <c r="D1665">
        <v>32</v>
      </c>
      <c r="E1665">
        <v>3</v>
      </c>
      <c r="F1665">
        <v>9</v>
      </c>
      <c r="G1665">
        <v>12</v>
      </c>
      <c r="H1665" t="s">
        <v>2814</v>
      </c>
      <c r="I166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65" t="s">
        <v>1670</v>
      </c>
      <c r="K1665" t="str">
        <f>RIGHT(Tabla2[[#This Row],[codigo_producto]],LEN(Tabla2[[#This Row],[codigo_producto]])-FIND("/",Tabla2[[#This Row],[codigo_producto]]))</f>
        <v>11400ED01 49.0.450.906.</v>
      </c>
      <c r="L1665" t="str">
        <f>LEFT(Tabla2[[#This Row],[codigo_producto]],FIND("/",Tabla2[[#This Row],[codigo_producto]])-1)</f>
        <v>5</v>
      </c>
      <c r="M1665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666" spans="1:13" x14ac:dyDescent="0.25">
      <c r="A1666" t="s">
        <v>4477</v>
      </c>
      <c r="B1666" t="s">
        <v>2811</v>
      </c>
      <c r="C1666" t="s">
        <v>2811</v>
      </c>
      <c r="D1666">
        <v>32</v>
      </c>
      <c r="E1666">
        <v>3</v>
      </c>
      <c r="F1666">
        <v>9</v>
      </c>
      <c r="G1666">
        <v>12</v>
      </c>
      <c r="H1666" t="s">
        <v>2814</v>
      </c>
      <c r="I166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66" t="s">
        <v>1671</v>
      </c>
      <c r="K1666" t="str">
        <f>RIGHT(Tabla2[[#This Row],[codigo_producto]],LEN(Tabla2[[#This Row],[codigo_producto]])-FIND("/",Tabla2[[#This Row],[codigo_producto]]))</f>
        <v>1105110-E06/49.1.457.43</v>
      </c>
      <c r="L1666" t="str">
        <f>LEFT(Tabla2[[#This Row],[codigo_producto]],FIND("/",Tabla2[[#This Row],[codigo_producto]])-1)</f>
        <v>5</v>
      </c>
      <c r="M1666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Equipo-66</dc:creator>
  <cp:lastModifiedBy>Wilmer Suclupe Farroñan</cp:lastModifiedBy>
  <dcterms:created xsi:type="dcterms:W3CDTF">2015-06-05T18:19:34Z</dcterms:created>
  <dcterms:modified xsi:type="dcterms:W3CDTF">2025-12-17T20:27:29Z</dcterms:modified>
</cp:coreProperties>
</file>